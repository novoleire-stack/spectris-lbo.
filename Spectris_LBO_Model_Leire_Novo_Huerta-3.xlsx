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Historicals" sheetId="3" state="visible" r:id="rId5"/>
    <sheet name="Operating Model" sheetId="4" state="visible" r:id="rId6"/>
    <sheet name="Sources &amp; Uses" sheetId="5" state="visible" r:id="rId7"/>
    <sheet name="Debt Schedule" sheetId="6" state="visible" r:id="rId8"/>
    <sheet name="Returns" sheetId="7" state="visible" r:id="rId9"/>
    <sheet name="Bid Comparison" sheetId="8" state="visible" r:id="rId10"/>
    <sheet name="Comparables" sheetId="9" state="visible" r:id="rId11"/>
    <sheet name="Sensitivities" sheetId="10" state="visible" r:id="rId12"/>
    <sheet name="Financing Terms" sheetId="11" state="visible" r:id="rId13"/>
    <sheet name="Checks" sheetId="12" state="visible" r:id="rId14"/>
  </sheets>
  <definedNames>
    <definedName function="false" hidden="false" name="Advisory" vbProcedure="false">Inputs!$C$23</definedName>
    <definedName function="false" hidden="false" name="Amort_EUR" vbProcedure="false">Inputs!$C$34</definedName>
    <definedName function="false" hidden="false" name="Amort_USD" vbProcedure="false">Inputs!$C$35</definedName>
    <definedName function="false" hidden="false" name="Capex_pct" vbProcedure="false">Inputs!$C$50</definedName>
    <definedName function="false" hidden="false" name="Cash_Close" vbProcedure="false">Inputs!$C$15</definedName>
    <definedName function="false" hidden="false" name="Costs_2025" vbProcedure="false">Inputs!$C$42</definedName>
    <definedName function="false" hidden="false" name="Costs_G" vbProcedure="false">Inputs!$C$48</definedName>
    <definedName function="false" hidden="false" name="DA_pct" vbProcedure="false">Inputs!$C$49</definedName>
    <definedName function="false" hidden="false" name="Debt0" vbProcedure="false">'Sources &amp; Uses'!$C$13:$C$14</definedName>
    <definedName function="false" hidden="false" name="Dividend" vbProcedure="false">Inputs!$C$8</definedName>
    <definedName function="false" hidden="false" name="Dyn_G" vbProcedure="false">Inputs!$C$46</definedName>
    <definedName function="false" hidden="false" name="Dyn_H2_G" vbProcedure="false">Inputs!$C$40</definedName>
    <definedName function="false" hidden="false" name="Dyn_H2_M" vbProcedure="false">Inputs!$C$41</definedName>
    <definedName function="false" hidden="false" name="Dyn_M25" vbProcedure="false">Historicals!$I$13</definedName>
    <definedName function="false" hidden="false" name="Dyn_M_Exit" vbProcedure="false">Inputs!$C$47</definedName>
    <definedName function="false" hidden="false" name="Dyn_Rev25" vbProcedure="false">Historicals!$I$11</definedName>
    <definedName function="false" hidden="false" name="EBITDA_25" vbProcedure="false">'Operating Model'!$C$24</definedName>
    <definedName function="false" hidden="false" name="EBITDA_Exit" vbProcedure="false">'Operating Model'!$H$24</definedName>
    <definedName function="false" hidden="false" name="EBITDA_FY24" vbProcedure="false">Inputs!$C$11</definedName>
    <definedName function="false" hidden="false" name="EntryMult" vbProcedure="false">'Sources &amp; Uses'!$C$24</definedName>
    <definedName function="false" hidden="false" name="EqExit" vbProcedure="false">Returns!$C$11</definedName>
    <definedName function="false" hidden="false" name="Equity0" vbProcedure="false">'Sources &amp; Uses'!$C$16</definedName>
    <definedName function="false" hidden="false" name="EURGBP" vbProcedure="false">Inputs!$C$29</definedName>
    <definedName function="false" hidden="false" name="Euribor" vbProcedure="false">Inputs!$C$32</definedName>
    <definedName function="false" hidden="false" name="EUR_TL" vbProcedure="false">Inputs!$C$26</definedName>
    <definedName function="false" hidden="false" name="EV_Entry" vbProcedure="false">'Sources &amp; Uses'!$C$22</definedName>
    <definedName function="false" hidden="false" name="ExitMult" vbProcedure="false">Inputs!$C$54</definedName>
    <definedName function="false" hidden="false" name="Fee_EUR" vbProcedure="false">Inputs!$C$18</definedName>
    <definedName function="false" hidden="false" name="Fee_RCF" vbProcedure="false">Inputs!$C$21</definedName>
    <definedName function="false" hidden="false" name="Fee_USD" vbProcedure="false">Inputs!$C$19</definedName>
    <definedName function="false" hidden="false" name="FinFees" vbProcedure="false">'Sources &amp; Uses'!$C$8</definedName>
    <definedName function="false" hidden="false" name="GBPUSD" vbProcedure="false">Inputs!$C$30</definedName>
    <definedName function="false" hidden="false" name="Gross_Debt" vbProcedure="false">Inputs!$C$14</definedName>
    <definedName function="false" hidden="false" name="Hold" vbProcedure="false">Inputs!$C$56</definedName>
    <definedName function="false" hidden="false" name="Hurdle" vbProcedure="false">Inputs!$C$55</definedName>
    <definedName function="false" hidden="false" name="Leases" vbProcedure="false">Inputs!$C$16</definedName>
    <definedName function="false" hidden="false" name="Margin_TLB" vbProcedure="false">Inputs!$C$31</definedName>
    <definedName function="false" hidden="false" name="ND_Close" vbProcedure="false">'Sources &amp; Uses'!$C$27</definedName>
    <definedName function="false" hidden="false" name="ND_Exit" vbProcedure="false">'Debt Schedule'!$H$35</definedName>
    <definedName function="false" hidden="false" name="NetDebt_H1" vbProcedure="false">Inputs!$C$13</definedName>
    <definedName function="false" hidden="false" name="NWC_pct" vbProcedure="false">Inputs!$C$51</definedName>
    <definedName function="false" hidden="false" name="OID" vbProcedure="false">Inputs!$C$20</definedName>
    <definedName function="false" hidden="false" name="Price" vbProcedure="false">Inputs!$C$7</definedName>
    <definedName function="false" hidden="false" name="RCF" vbProcedure="false">Inputs!$C$28</definedName>
    <definedName function="false" hidden="false" name="Sci_G" vbProcedure="false">Inputs!$C$44</definedName>
    <definedName function="false" hidden="false" name="Sci_H2_G" vbProcedure="false">Inputs!$C$38</definedName>
    <definedName function="false" hidden="false" name="Sci_H2_M" vbProcedure="false">Inputs!$C$39</definedName>
    <definedName function="false" hidden="false" name="Sci_M25" vbProcedure="false">Historicals!$I$9</definedName>
    <definedName function="false" hidden="false" name="Sci_M_Exit" vbProcedure="false">Inputs!$C$45</definedName>
    <definedName function="false" hidden="false" name="Sci_Rev25" vbProcedure="false">Historicals!$I$7</definedName>
    <definedName function="false" hidden="false" name="Shares" vbProcedure="false">Inputs!$C$9</definedName>
    <definedName function="false" hidden="false" name="SOFR" vbProcedure="false">Inputs!$C$33</definedName>
    <definedName function="false" hidden="false" name="Stamp" vbProcedure="false">Inputs!$C$22</definedName>
    <definedName function="false" hidden="false" name="Sweep" vbProcedure="false">Inputs!$C$36</definedName>
    <definedName function="false" hidden="false" name="Target_Costs" vbProcedure="false">Inputs!$C$24</definedName>
    <definedName function="false" hidden="false" name="Tax" vbProcedure="false">Inputs!$C$52</definedName>
    <definedName function="false" hidden="false" name="Undisturbed" vbProcedure="false">Inputs!$C$10</definedName>
    <definedName function="false" hidden="false" name="USD_TL" vbProcedure="false">Inputs!$C$27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<sst xmlns="http://schemas.openxmlformats.org/spreadsheetml/2006/main" count="656" uniqueCount="505">
  <si>
    <t xml:space="preserve">Spectris plc take-private by KKR</t>
  </si>
  <si>
    <t xml:space="preserve">LBO rebuild from the offer and financing documents</t>
  </si>
  <si>
    <t xml:space="preserve">Leire Novo Huerta  |  October 2026</t>
  </si>
  <si>
    <t xml:space="preserve">Question: KKR beat Advent with a £41.75 per share offer, 105% above the undisturbed price and 20.3x FY2024 EBITDA. What did KKR need to believe to pay that, and what did winning cost in returns?</t>
  </si>
  <si>
    <t xml:space="preserve">Key outputs (live)</t>
  </si>
  <si>
    <t xml:space="preserve">Entry enterprise value (£m)</t>
  </si>
  <si>
    <t xml:space="preserve">EV / FY2024 EBITDA</t>
  </si>
  <si>
    <t xml:space="preserve">EV / 2025E EBITDA</t>
  </si>
  <si>
    <t xml:space="preserve">Term debt / FY2024 EBITDA</t>
  </si>
  <si>
    <t xml:space="preserve">Sponsor equity (£m)</t>
  </si>
  <si>
    <t xml:space="preserve">Money multiple</t>
  </si>
  <si>
    <t xml:space="preserve">IRR (5-year hold)</t>
  </si>
  <si>
    <t xml:space="preserve">Walk-away price at target IRR</t>
  </si>
  <si>
    <t xml:space="preserve">Exit multiple needed for target IRR</t>
  </si>
  <si>
    <t xml:space="preserve">IRR cost of beating Advent's first offer</t>
  </si>
  <si>
    <t xml:space="preserve">Model checks</t>
  </si>
  <si>
    <t xml:space="preserve">Contents</t>
  </si>
  <si>
    <t xml:space="preserve">Inputs</t>
  </si>
  <si>
    <t xml:space="preserve">Every assumption, labelled disclosed or estimate, with its source</t>
  </si>
  <si>
    <t xml:space="preserve">Historicals</t>
  </si>
  <si>
    <t xml:space="preserve">Divisional FY2023-FY2024, H1 2024-H1 2025 and the 2025E bridge</t>
  </si>
  <si>
    <t xml:space="preserve">Operating Model</t>
  </si>
  <si>
    <t xml:space="preserve">Scientific and Dynamics sales and margins, EBITDA and free cash flow to 2030E</t>
  </si>
  <si>
    <t xml:space="preserve">Sources &amp; Uses</t>
  </si>
  <si>
    <t xml:space="preserve">Funding at completion, fee build from the fee letter, entry metrics, equity reconciliation</t>
  </si>
  <si>
    <t xml:space="preserve">Debt Schedule</t>
  </si>
  <si>
    <t xml:space="preserve">Euro and dollar term loans, amortisation, cash sweep, credit statistics</t>
  </si>
  <si>
    <t xml:space="preserve">Returns</t>
  </si>
  <si>
    <t xml:space="preserve">Exit valuation, IRR, value creation bridge, hurdle analysis</t>
  </si>
  <si>
    <t xml:space="preserve">Bid Comparison</t>
  </si>
  <si>
    <t xml:space="preserve">Returns at each bid; Advent and KKR financing structures</t>
  </si>
  <si>
    <t xml:space="preserve">Comparables</t>
  </si>
  <si>
    <t xml:space="preserve">Trading comparables and precedent transactions behind the exit multiple</t>
  </si>
  <si>
    <t xml:space="preserve">Sensitivities</t>
  </si>
  <si>
    <t xml:space="preserve">IRR grids: price x exit multiple; divisional margins</t>
  </si>
  <si>
    <t xml:space="preserve">Financing Terms</t>
  </si>
  <si>
    <t xml:space="preserve">What the commitment letter, fee letter and announcements say</t>
  </si>
  <si>
    <t xml:space="preserve">Checks</t>
  </si>
  <si>
    <t xml:space="preserve">Integrity checks</t>
  </si>
  <si>
    <t xml:space="preserve">Colour code</t>
  </si>
  <si>
    <t xml:space="preserve">Blue text</t>
  </si>
  <si>
    <t xml:space="preserve">Hard-coded input</t>
  </si>
  <si>
    <t xml:space="preserve">Black text</t>
  </si>
  <si>
    <t xml:space="preserve">Formula</t>
  </si>
  <si>
    <t xml:space="preserve">Green text</t>
  </si>
  <si>
    <t xml:space="preserve">Link to another sheet</t>
  </si>
  <si>
    <t xml:space="preserve">Yellow fill</t>
  </si>
  <si>
    <t xml:space="preserve">Key judgement to stress-test</t>
  </si>
  <si>
    <t xml:space="preserve">Purple italic</t>
  </si>
  <si>
    <t xml:space="preserve">Pasted output from model runs</t>
  </si>
  <si>
    <t xml:space="preserve">Independent analysis built only from public offer documents, financing documents published under Rule 26, Spectris results and market data. Not KKR's model; no private information used. Items marked Estimate are assumptions.</t>
  </si>
  <si>
    <t xml:space="preserve">Inputs and assumptions</t>
  </si>
  <si>
    <t xml:space="preserve">Blue = hard-coded input. Yellow fill = key judgement to stress. Type: Disclosed (from a deal or company document) or Estimate. Every input is a named cell.</t>
  </si>
  <si>
    <t xml:space="preserve">Input</t>
  </si>
  <si>
    <t xml:space="preserve">Value</t>
  </si>
  <si>
    <t xml:space="preserve">Unit</t>
  </si>
  <si>
    <t xml:space="preserve">Type</t>
  </si>
  <si>
    <t xml:space="preserve">Source or rationale</t>
  </si>
  <si>
    <t xml:space="preserve">Offer and share capital</t>
  </si>
  <si>
    <t xml:space="preserve">Offer value per share (cash + interim dividend)</t>
  </si>
  <si>
    <t xml:space="preserve">£</t>
  </si>
  <si>
    <t xml:space="preserve">Disclosed</t>
  </si>
  <si>
    <t xml:space="preserve">Increased KKR offer, 5 Aug 2025: £41.47 cash + 28p interim dividend</t>
  </si>
  <si>
    <t xml:space="preserve">Interim dividend per share (paid by Spectris)</t>
  </si>
  <si>
    <t xml:space="preserve">Same announcement; paid from company cash before completion</t>
  </si>
  <si>
    <t xml:space="preserve">Fully diluted shares</t>
  </si>
  <si>
    <t xml:space="preserve">m</t>
  </si>
  <si>
    <t xml:space="preserve">Derived: disclosed equity value ~£4.2bn ÷ £41.75. H1 2025: 99.0m weighted shares, 99.8m diluted, plus share plan awards</t>
  </si>
  <si>
    <t xml:space="preserve">Undisturbed share price, 6 Jun 2025</t>
  </si>
  <si>
    <t xml:space="preserve">KKR increased offer announcement (premium calculation)</t>
  </si>
  <si>
    <t xml:space="preserve">FY2024 adjusted EBITDA used in the offer multiples</t>
  </si>
  <si>
    <t xml:space="preserve">£m</t>
  </si>
  <si>
    <t xml:space="preserve">Rule 2.7 announcement: £239m adjusted EBITDA, £203m adjusted EBIT; KKR offer = 20.3x</t>
  </si>
  <si>
    <t xml:space="preserve">Balance sheet at close</t>
  </si>
  <si>
    <t xml:space="preserve">Net debt, 30 Jun 2025 (excl. leases)</t>
  </si>
  <si>
    <t xml:space="preserve">H1 2025 results: gross borrowings £633.1m less cash £87.4m</t>
  </si>
  <si>
    <t xml:space="preserve">Spectris gross borrowings refinanced at completion</t>
  </si>
  <si>
    <t xml:space="preserve">H1 2025 results; existing facilities repaid on change of control</t>
  </si>
  <si>
    <t xml:space="preserve">Spectris cash retained on balance sheet at close</t>
  </si>
  <si>
    <t xml:space="preserve">Estimate</t>
  </si>
  <si>
    <t xml:space="preserve">June cash £87.4m less ~£28m interim dividend</t>
  </si>
  <si>
    <t xml:space="preserve">Lease liabilities (debt-like, held flat)</t>
  </si>
  <si>
    <t xml:space="preserve">H1 2025: £18.3m current + £58.2m non-current. In EV at entry and deducted at exit</t>
  </si>
  <si>
    <t xml:space="preserve">Transaction costs</t>
  </si>
  <si>
    <t xml:space="preserve">Arrangement/underwriting fee, euro term loan</t>
  </si>
  <si>
    <t xml:space="preserve">%</t>
  </si>
  <si>
    <t xml:space="preserve">KKR senior fee letter (TLB): 1.75% of non-USD term commitments</t>
  </si>
  <si>
    <t xml:space="preserve">Arrangement/underwriting fee, dollar term loan</t>
  </si>
  <si>
    <t xml:space="preserve">KKR senior fee letter (TLB): 2.25% of USD term commitments</t>
  </si>
  <si>
    <t xml:space="preserve">Original issue discount, term loans</t>
  </si>
  <si>
    <t xml:space="preserve">KKR senior fee letter (TLB): 1.00% of term commitments (before any market flex)</t>
  </si>
  <si>
    <t xml:space="preserve">Revolving facility fee</t>
  </si>
  <si>
    <t xml:space="preserve">KKR senior fee letter: 1.75% of revolving commitments</t>
  </si>
  <si>
    <t xml:space="preserve">Stamp duty on shares acquired</t>
  </si>
  <si>
    <t xml:space="preserve">UK stamp duty 0.5% on a transfer scheme of arrangement</t>
  </si>
  <si>
    <t xml:space="preserve">Bidco advisory, legal and other deal costs</t>
  </si>
  <si>
    <t xml:space="preserve">Not disclosed; ~0.9% of EV, in line with large UK take-privates</t>
  </si>
  <si>
    <t xml:space="preserve">Spectris transaction costs settled at close</t>
  </si>
  <si>
    <t xml:space="preserve">Five advisers on the target side (GS, BofA, Rothschild, Barclays, JPM consent letters); not disclosed</t>
  </si>
  <si>
    <t xml:space="preserve">Debt package and pricing</t>
  </si>
  <si>
    <t xml:space="preserve">Euro term loan B</t>
  </si>
  <si>
    <t xml:space="preserve">€m</t>
  </si>
  <si>
    <t xml:space="preserve">Senior facilities agreement, 30 Sep 2025</t>
  </si>
  <si>
    <t xml:space="preserve">Dollar term loan B</t>
  </si>
  <si>
    <t xml:space="preserve">$m</t>
  </si>
  <si>
    <t xml:space="preserve">Revolving credit facility (undrawn at close)</t>
  </si>
  <si>
    <t xml:space="preserve">£300m in SFA, increased to £325m when HSBC UK acceded, 14 Nov 2025</t>
  </si>
  <si>
    <t xml:space="preserve">EUR to GBP rate</t>
  </si>
  <si>
    <t xml:space="preserve">x</t>
  </si>
  <si>
    <t xml:space="preserve">Approximate rate at signing; held flat</t>
  </si>
  <si>
    <t xml:space="preserve">GBP to USD rate</t>
  </si>
  <si>
    <t xml:space="preserve">Term loan margin over Euribor / SOFR</t>
  </si>
  <si>
    <t xml:space="preserve">KKR commitment letter term sheet: Facility B 3.75%, ratchet to 3.00% at &lt;=4.00x. Final syndicated pricing not public</t>
  </si>
  <si>
    <t xml:space="preserve">3-month Euribor (average over hold)</t>
  </si>
  <si>
    <t xml:space="preserve">Market level late 2025; 0% floor per term sheet</t>
  </si>
  <si>
    <t xml:space="preserve">Term SOFR (average over hold)</t>
  </si>
  <si>
    <t xml:space="preserve">Euro term loan amortisation (% a year)</t>
  </si>
  <si>
    <t xml:space="preserve">Term sheet: bullet at maturity</t>
  </si>
  <si>
    <t xml:space="preserve">Dollar term loan amortisation (% a year)</t>
  </si>
  <si>
    <t xml:space="preserve">Term sheet: 0.25% a quarter on the USD tranche</t>
  </si>
  <si>
    <t xml:space="preserve">Excess cash used to prepay debt</t>
  </si>
  <si>
    <t xml:space="preserve">Typical excess cash flow sweep; voluntary prepayment assumption</t>
  </si>
  <si>
    <t xml:space="preserve">2025E bridge (H1 actual + H2 estimate)</t>
  </si>
  <si>
    <t xml:space="preserve">Scientific: H2 2025 sales growth vs H2 2024</t>
  </si>
  <si>
    <t xml:space="preserve">H1 2025 LFL +3%; acquisitions (SciAps, Micromeritics) annualised by H2</t>
  </si>
  <si>
    <t xml:space="preserve">Scientific: H2 2025 adjusted operating margin</t>
  </si>
  <si>
    <t xml:space="preserve">H2 2024 margin 22.8% plus programme savings</t>
  </si>
  <si>
    <t xml:space="preserve">Dynamics: H2 2025 sales growth vs H2 2024</t>
  </si>
  <si>
    <t xml:space="preserve">H1 2025 LFL -3%</t>
  </si>
  <si>
    <t xml:space="preserve">Dynamics: H2 2025 adjusted operating margin</t>
  </si>
  <si>
    <t xml:space="preserve">H2 2024 margin 16.5% plus programme savings</t>
  </si>
  <si>
    <t xml:space="preserve">Group central costs 2025E</t>
  </si>
  <si>
    <t xml:space="preserve">H1 2025 £8.5m (FY2024 £10.9m)</t>
  </si>
  <si>
    <t xml:space="preserve">Projections 2026E-2030E</t>
  </si>
  <si>
    <t xml:space="preserve">Scientific: sales growth a year</t>
  </si>
  <si>
    <t xml:space="preserve">Pharma, semis and research end markets; includes small bolt-ons</t>
  </si>
  <si>
    <t xml:space="preserve">Scientific: 2030E adjusted operating margin</t>
  </si>
  <si>
    <t xml:space="preserve">FY2023 peak 21.4%; £50m programme run-rate by end 2026</t>
  </si>
  <si>
    <t xml:space="preserve">Dynamics: sales growth a year</t>
  </si>
  <si>
    <t xml:space="preserve">Automotive and aerospace test; slower recovery</t>
  </si>
  <si>
    <t xml:space="preserve">Dynamics: 2030E adjusted operating margin</t>
  </si>
  <si>
    <t xml:space="preserve">FY2023 17.1%; ERP and cost actions</t>
  </si>
  <si>
    <t xml:space="preserve">Group central costs growth a year</t>
  </si>
  <si>
    <t xml:space="preserve">Inflation</t>
  </si>
  <si>
    <t xml:space="preserve">Adjusted D&amp;A (% of sales)</t>
  </si>
  <si>
    <t xml:space="preserve">FY2024 £36.1m = 2.8% of sales</t>
  </si>
  <si>
    <t xml:space="preserve">Capex (% of sales)</t>
  </si>
  <si>
    <t xml:space="preserve">H1 2025 3.3%; FY2024 4.0% (ERP peak); FY2023 1.7%</t>
  </si>
  <si>
    <t xml:space="preserve">Working capital (% of incremental sales)</t>
  </si>
  <si>
    <t xml:space="preserve">Instrument business with moderate inventory</t>
  </si>
  <si>
    <t xml:space="preserve">Cash tax rate</t>
  </si>
  <si>
    <t xml:space="preserve">UK main rate; FY2024 adjusted effective rate 22.7%</t>
  </si>
  <si>
    <t xml:space="preserve">Exit and returns</t>
  </si>
  <si>
    <t xml:space="preserve">Exit EV / EBITDA</t>
  </si>
  <si>
    <t xml:space="preserve">See Comparables: precedents 15-20x, lower-margin peers 17-21x, high-margin peers ~24x</t>
  </si>
  <si>
    <t xml:space="preserve">Target IRR</t>
  </si>
  <si>
    <t xml:space="preserve">Large-cap buyout gross hurdle</t>
  </si>
  <si>
    <t xml:space="preserve">Holding period, Dec 2025 to Dec 2030</t>
  </si>
  <si>
    <t xml:space="preserve">years</t>
  </si>
  <si>
    <t xml:space="preserve">Completion 4 Dec 2025</t>
  </si>
  <si>
    <t xml:space="preserve">Historical and 2025E divisional financials (£m)</t>
  </si>
  <si>
    <t xml:space="preserve">Sources: FY2024 results (28 Feb 2025), H1 2025 results. H2 = full year less H1. 2025E = H1 2025 actual + H2 2025 estimate.</t>
  </si>
  <si>
    <t xml:space="preserve">FY2023A</t>
  </si>
  <si>
    <t xml:space="preserve">FY2024A</t>
  </si>
  <si>
    <t xml:space="preserve">H1 2024A</t>
  </si>
  <si>
    <t xml:space="preserve">H2 2024A</t>
  </si>
  <si>
    <t xml:space="preserve">H1 2025A</t>
  </si>
  <si>
    <t xml:space="preserve">H2 2025E</t>
  </si>
  <si>
    <t xml:space="preserve">FY2025E</t>
  </si>
  <si>
    <t xml:space="preserve">Note</t>
  </si>
  <si>
    <t xml:space="preserve">Spectris Scientific</t>
  </si>
  <si>
    <t xml:space="preserve">Sales</t>
  </si>
  <si>
    <t xml:space="preserve">Adjusted operating profit</t>
  </si>
  <si>
    <t xml:space="preserve">Margin</t>
  </si>
  <si>
    <t xml:space="preserve">Strong H2 seasonality (year-end instrument budgets)</t>
  </si>
  <si>
    <t xml:space="preserve">Spectris Dynamics</t>
  </si>
  <si>
    <t xml:space="preserve">Group</t>
  </si>
  <si>
    <t xml:space="preserve">Red Lion Controls sales (sold Apr 2024)</t>
  </si>
  <si>
    <t xml:space="preserve">Red Lion Controls adjusted operating profit</t>
  </si>
  <si>
    <t xml:space="preserve">Group central costs</t>
  </si>
  <si>
    <t xml:space="preserve">FY2024 includes Spectris Foundation contribution</t>
  </si>
  <si>
    <t xml:space="preserve">Group sales</t>
  </si>
  <si>
    <t xml:space="preserve">FY2024 reported: 1,298.7</t>
  </si>
  <si>
    <t xml:space="preserve">Adjusted operating margin</t>
  </si>
  <si>
    <t xml:space="preserve">Adjusted D&amp;A (depreciation + software amortisation)</t>
  </si>
  <si>
    <t xml:space="preserve">Adjusted EBITDA</t>
  </si>
  <si>
    <t xml:space="preserve">FY2024 matches the £239m in the Rule 2.7 announcement</t>
  </si>
  <si>
    <t xml:space="preserve">EBITDA margin</t>
  </si>
  <si>
    <t xml:space="preserve">Other reported items</t>
  </si>
  <si>
    <t xml:space="preserve">Capex</t>
  </si>
  <si>
    <t xml:space="preserve">Net debt (cash) excl. leases</t>
  </si>
  <si>
    <t xml:space="preserve">Net debt / EBITDA</t>
  </si>
  <si>
    <t xml:space="preserve">Company reported 2.3x on a covenant basis</t>
  </si>
  <si>
    <t xml:space="preserve">Profit improvement programme: &gt;£10m savings in H1 2025, &gt;£30m in FY2025, &gt;£50m run-rate by end 2026 (H1 2025 results).</t>
  </si>
  <si>
    <t xml:space="preserve">Operating model by division (£m)</t>
  </si>
  <si>
    <t xml:space="preserve">Divisional margins ramp in a straight line from 2025E to the 2030E inputs. Interest links to the Debt Schedule (opening balances, no circularity).</t>
  </si>
  <si>
    <t xml:space="preserve">2025E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</si>
  <si>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</si>
  <si>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</si>
  <si>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</si>
  <si>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</si>
  <si>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</si>
  <si>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Year index</t>
  </si>
  <si>
    <t xml:space="preserve">Growth</t>
  </si>
  <si>
    <t xml:space="preserve">Adjusted operating profit (EBIT)</t>
  </si>
  <si>
    <t xml:space="preserve">Add: D&amp;A</t>
  </si>
  <si>
    <t xml:space="preserve">Free cash flow</t>
  </si>
  <si>
    <t xml:space="preserve">Less: capex</t>
  </si>
  <si>
    <t xml:space="preserve">Less: increase in working capital</t>
  </si>
  <si>
    <t xml:space="preserve">Less: interest</t>
  </si>
  <si>
    <t xml:space="preserve">Less: cash taxes</t>
  </si>
  <si>
    <t xml:space="preserve">Free cash flow available for debt service</t>
  </si>
  <si>
    <t xml:space="preserve">FCF / EBITDA</t>
  </si>
  <si>
    <t xml:space="preserve">Sources and uses at completion (£m)</t>
  </si>
  <si>
    <t xml:space="preserve">Debt fixed at the disclosed term loans. Fees built from the published fee letter. Sponsor equity is the balancing item.</t>
  </si>
  <si>
    <t xml:space="preserve">Uses</t>
  </si>
  <si>
    <t xml:space="preserve">% total</t>
  </si>
  <si>
    <t xml:space="preserve">Cash paid to shareholders (£41.47 x shares)</t>
  </si>
  <si>
    <t xml:space="preserve">Refinance Spectris gross borrowings</t>
  </si>
  <si>
    <t xml:space="preserve">Financing fees and OID (fee letter rates)</t>
  </si>
  <si>
    <t xml:space="preserve">Stamp duty (0.5%)</t>
  </si>
  <si>
    <t xml:space="preserve">Bidco advisory, legal and other costs</t>
  </si>
  <si>
    <t xml:space="preserve">Total uses</t>
  </si>
  <si>
    <t xml:space="preserve">Euro term loan B (€975m)</t>
  </si>
  <si>
    <t xml:space="preserve">Sources rows sit directly below uses so the fee formula can reference the sterling loan amounts.</t>
  </si>
  <si>
    <t xml:space="preserve">Dollar term loan B ($900m)</t>
  </si>
  <si>
    <t xml:space="preserve">Revolving credit facility (undrawn)</t>
  </si>
  <si>
    <t xml:space="preserve">Sponsor and co-investor equity (plug)</t>
  </si>
  <si>
    <t xml:space="preserve">Total sources</t>
  </si>
  <si>
    <t xml:space="preserve">Check: sources less uses</t>
  </si>
  <si>
    <t xml:space="preserve">Entry metrics</t>
  </si>
  <si>
    <t xml:space="preserve">Headline equity value (offer value x shares)</t>
  </si>
  <si>
    <t xml:space="preserve">Enterprise value (equity + Jun-25 net debt + leases)</t>
  </si>
  <si>
    <t xml:space="preserve">EV / FY2024 EBITDA (disclosed: 20.3x)</t>
  </si>
  <si>
    <t xml:space="preserve">Term debt / 2025E EBITDA</t>
  </si>
  <si>
    <t xml:space="preserve">Net debt at close (term debt less cash retained)</t>
  </si>
  <si>
    <t xml:space="preserve">Equity as % of total capital</t>
  </si>
  <si>
    <t xml:space="preserve">Premium to undisturbed price</t>
  </si>
  <si>
    <t xml:space="preserve">EV at undisturbed price / FY2024 EBITDA</t>
  </si>
  <si>
    <t xml:space="preserve">Equity reconciliation: what explains the gap to the syndication notices?</t>
  </si>
  <si>
    <t xml:space="preserve">Item</t>
  </si>
  <si>
    <t xml:space="preserve">Basis</t>
  </si>
  <si>
    <t xml:space="preserve">Co-investor commitments, 5 Aug 2025 (Neuberger Berman, Pathway)</t>
  </si>
  <si>
    <t xml:space="preserve">Increased offer announcement: "approximately 5.80%" indirect economic interest</t>
  </si>
  <si>
    <t xml:space="preserve">Stated share of Bidco</t>
  </si>
  <si>
    <t xml:space="preserve">Implied total equity, Aug 2025</t>
  </si>
  <si>
    <t xml:space="preserve">Co-investor commitments, 14 Nov 2025 (incl. Temasek vehicle)</t>
  </si>
  <si>
    <t xml:space="preserve">Update on financing and equity syndication: "up to" £1,042,953,850</t>
  </si>
  <si>
    <t xml:space="preserve">Stated maximum share of Bidco</t>
  </si>
  <si>
    <t xml:space="preserve">"maximum indirect economic interest ... up to approximately 28.54%"</t>
  </si>
  <si>
    <t xml:space="preserve">Implied total equity, Nov 2025</t>
  </si>
  <si>
    <t xml:space="preserve">Equity in this model</t>
  </si>
  <si>
    <t xml:space="preserve">Sources and uses above</t>
  </si>
  <si>
    <t xml:space="preserve">Gap to Nov 2025 implied equity</t>
  </si>
  <si>
    <t xml:space="preserve">Fall in implied equity between Aug and Nov</t>
  </si>
  <si>
    <t xml:space="preserve">Commitments are caps sized for certain funds, tightened as costs became known</t>
  </si>
  <si>
    <t xml:space="preserve">Ticking fees, allocation to close (term sheet)</t>
  </si>
  <si>
    <t xml:space="preserve">50% of margin from day 61; ~10 days at 50% before 4 Dec close (estimate)</t>
  </si>
  <si>
    <t xml:space="preserve">Remaining unexplained</t>
  </si>
  <si>
    <t xml:space="preserve">Reading: the notices state maximum economic interests on commitments of "up to" a given amount, so the implied total is a ceiling, not the equity actually drawn.</t>
  </si>
  <si>
    <t xml:space="preserve">Equity commitment letters must cover the full offer on a certain-funds basis, so they carry headroom (FX on the euro and dollar debt, fees, options).</t>
  </si>
  <si>
    <t xml:space="preserve">The implied ceiling fell by about £118m between August and November as the structure was finalised. The rest is consistent with remaining headroom plus items not</t>
  </si>
  <si>
    <t xml:space="preserve">disclosed: minimum operating cash funded by equity, deal-contingent FX hedging, a sponsor transaction fee, or management equity. Conclusion: not a missing use of funds.</t>
  </si>
  <si>
    <t xml:space="preserve">Debt schedule (£m)</t>
  </si>
  <si>
    <t xml:space="preserve">Interest on opening balances. Mandatory amortisation, then a cash sweep applied pro rata; remaining cash builds on balance sheet.</t>
  </si>
  <si>
    <t xml:space="preserve">Close</t>
  </si>
  <si>
    <t xml:space="preserve">Cash available for debt repayment</t>
  </si>
  <si>
    <t xml:space="preserve">Free cash flow (Operating Model)</t>
  </si>
  <si>
    <t xml:space="preserve">Less: mandatory amortisation</t>
  </si>
  <si>
    <t xml:space="preserve">Cash after mandatory repayment</t>
  </si>
  <si>
    <t xml:space="preserve">Cash sweep applied</t>
  </si>
  <si>
    <t xml:space="preserve">Change in cash</t>
  </si>
  <si>
    <t xml:space="preserve">Euro term loan B (Euribor + margin, bullet)</t>
  </si>
  <si>
    <t xml:space="preserve">Opening balance</t>
  </si>
  <si>
    <t xml:space="preserve">Mandatory amortisation</t>
  </si>
  <si>
    <t xml:space="preserve">Balance after amortisation</t>
  </si>
  <si>
    <t xml:space="preserve">Sweep (pro rata)</t>
  </si>
  <si>
    <t xml:space="preserve">Closing balance</t>
  </si>
  <si>
    <t xml:space="preserve">Dollar term loan B (SOFR + margin, 1% a year amortisation)</t>
  </si>
  <si>
    <t xml:space="preserve">Interest</t>
  </si>
  <si>
    <t xml:space="preserve">Euro all-in rate</t>
  </si>
  <si>
    <t xml:space="preserve">Euro term loan interest</t>
  </si>
  <si>
    <t xml:space="preserve">Dollar term loan interest (SOFR + margin)</t>
  </si>
  <si>
    <t xml:space="preserve">Total interest</t>
  </si>
  <si>
    <t xml:space="preserve">Credit statistics</t>
  </si>
  <si>
    <t xml:space="preserve">Cash balance</t>
  </si>
  <si>
    <t xml:space="preserve">Gross term debt</t>
  </si>
  <si>
    <t xml:space="preserve">Net debt (excl. leases)</t>
  </si>
  <si>
    <t xml:space="preserve">EBITDA / interest</t>
  </si>
  <si>
    <t xml:space="preserve">Cumulative term debt repaid</t>
  </si>
  <si>
    <t xml:space="preserve">Margin ratchet test: net leverage &lt;= 4.00x?</t>
  </si>
  <si>
    <t xml:space="preserve">Term sheet: margin steps down from 3.75% to 3.00% as leverage falls to 4.00x. Not modelled (conservative); the row above shows when it would apply.</t>
  </si>
  <si>
    <t xml:space="preserve">Returns analysis</t>
  </si>
  <si>
    <t xml:space="preserve">Exit at end of 2030E. No interim dividends. IRR from the annual cash flows; money multiple check alongside.</t>
  </si>
  <si>
    <t xml:space="preserve">Exit valuation (£m)</t>
  </si>
  <si>
    <t xml:space="preserve">2030E adjusted EBITDA</t>
  </si>
  <si>
    <t xml:space="preserve">Exit multiple</t>
  </si>
  <si>
    <t xml:space="preserve">Exit enterprise value</t>
  </si>
  <si>
    <t xml:space="preserve">Less: net debt at exit</t>
  </si>
  <si>
    <t xml:space="preserve">Less: lease liabilities</t>
  </si>
  <si>
    <t xml:space="preserve">Exit equity value</t>
  </si>
  <si>
    <t xml:space="preserve">Equity invested at completion</t>
  </si>
  <si>
    <t xml:space="preserve">Money multiple (MOIC)</t>
  </si>
  <si>
    <t xml:space="preserve">IRR (cash flow basis)</t>
  </si>
  <si>
    <t xml:space="preserve">IRR check: MOIC^(1/hold) - 1</t>
  </si>
  <si>
    <t xml:space="preserve">Sponsor cash flows (£m)</t>
  </si>
  <si>
    <t xml:space="preserve">Equity in (-) / out (+)</t>
  </si>
  <si>
    <t xml:space="preserve">Value creation bridge (£m)</t>
  </si>
  <si>
    <t xml:space="preserve">EBITDA growth (valued at the entry multiple on 2025E)</t>
  </si>
  <si>
    <t xml:space="preserve">Multiple change (exit vs entry)</t>
  </si>
  <si>
    <t xml:space="preserve">Debt paydown and cash build</t>
  </si>
  <si>
    <t xml:space="preserve">Transaction costs and other</t>
  </si>
  <si>
    <t xml:space="preserve">Residual equals fees and the cash/dividend timing differences between EV and uses.</t>
  </si>
  <si>
    <t xml:space="preserve">Total equity gain</t>
  </si>
  <si>
    <t xml:space="preserve">Exit equity less equity invested</t>
  </si>
  <si>
    <t xml:space="preserve">What has to be true to hit the hurdle</t>
  </si>
  <si>
    <t xml:space="preserve">Exit equity needed</t>
  </si>
  <si>
    <t xml:space="preserve">Exit multiple needed (all else equal)</t>
  </si>
  <si>
    <t xml:space="preserve">Equity cheque that hits the hurdle at the base exit</t>
  </si>
  <si>
    <t xml:space="preserve">Walk-away offer value per share</t>
  </si>
  <si>
    <t xml:space="preserve">Discount to KKR price</t>
  </si>
  <si>
    <t xml:space="preserve">Bid comparison</t>
  </si>
  <si>
    <t xml:space="preserve">Same operating case and KKR's debt package at every price; each extra pound per share is funded with equity.</t>
  </si>
  <si>
    <t xml:space="preserve">Bid</t>
  </si>
  <si>
    <t xml:space="preserve">Date</t>
  </si>
  <si>
    <t xml:space="preserve">Offer value</t>
  </si>
  <si>
    <t xml:space="preserve">Premium</t>
  </si>
  <si>
    <t xml:space="preserve">EV (£m)</t>
  </si>
  <si>
    <t xml:space="preserve">EV / FY24</t>
  </si>
  <si>
    <t xml:space="preserve">Equity (£m)</t>
  </si>
  <si>
    <t xml:space="preserve">MOIC</t>
  </si>
  <si>
    <t xml:space="preserve">IRR</t>
  </si>
  <si>
    <t xml:space="preserve">Advent original</t>
  </si>
  <si>
    <t xml:space="preserve">23 Jun 2025</t>
  </si>
  <si>
    <t xml:space="preserve">KKR first offer</t>
  </si>
  <si>
    <t xml:space="preserve">2 Jul 2025</t>
  </si>
  <si>
    <t xml:space="preserve">Advent increased</t>
  </si>
  <si>
    <t xml:space="preserve">1 Aug 2025</t>
  </si>
  <si>
    <t xml:space="preserve">KKR winning bid</t>
  </si>
  <si>
    <t xml:space="preserve">5 Aug 2025</t>
  </si>
  <si>
    <t xml:space="preserve">IRR cost of winning vs Advent original</t>
  </si>
  <si>
    <t xml:space="preserve">Extra equity vs Advent original (£m)</t>
  </si>
  <si>
    <t xml:space="preserve">Two financing strategies (from the published commitment letters)</t>
  </si>
  <si>
    <t xml:space="preserve">Advent</t>
  </si>
  <si>
    <t xml:space="preserve">KKR</t>
  </si>
  <si>
    <t xml:space="preserve">Senior term loan B</t>
  </si>
  <si>
    <t xml:space="preserve">Advent: debt commitment letter to MI Metron Finance (Morgan Stanley, Barclays, HSBC): £1,750m Facility B,</t>
  </si>
  <si>
    <t xml:space="preserve">Second lien term loan</t>
  </si>
  <si>
    <t xml:space="preserve">£325m second lien, £325m RCF. KKR: €975m + $900m term loans and RCF (SFA, 30 Sep 2025).</t>
  </si>
  <si>
    <t xml:space="preserve">Revolving facility (undrawn)</t>
  </si>
  <si>
    <t xml:space="preserve">Total term debt</t>
  </si>
  <si>
    <t xml:space="preserve">Advent planned ~8.7x leverage with a second lien; KKR paid more but used ~6.4x senior-only debt.</t>
  </si>
  <si>
    <t xml:space="preserve">Implied Advent equity uses KKR fee rates as a proxy. Advent fee letter: 1.75% EUR / 2.00% USD underwriting + 0.50% OID.</t>
  </si>
  <si>
    <t xml:space="preserve">Offer value per share</t>
  </si>
  <si>
    <t xml:space="preserve">Implied equity cheque</t>
  </si>
  <si>
    <t xml:space="preserve">Comparables: support for the exit multiple</t>
  </si>
  <si>
    <t xml:space="preserve">Trading data from stockanalysis.com (LTM, as of the dates shown). Precedents from KPMG Test &amp; Measurement review (Q2 2023) and the Spectris offer documents.</t>
  </si>
  <si>
    <t xml:space="preserve">Company</t>
  </si>
  <si>
    <t xml:space="preserve">Ticker</t>
  </si>
  <si>
    <t xml:space="preserve">Ccy</t>
  </si>
  <si>
    <t xml:space="preserve">EV (bn)</t>
  </si>
  <si>
    <t xml:space="preserve">LTM revenue (bn)</t>
  </si>
  <si>
    <t xml:space="preserve">EV / LTM EBITDA</t>
  </si>
  <si>
    <t xml:space="preserve">LTM EBITDA (bn)</t>
  </si>
  <si>
    <t xml:space="preserve">Data as of</t>
  </si>
  <si>
    <t xml:space="preserve">Mettler-Toledo</t>
  </si>
  <si>
    <t xml:space="preserve">MTD</t>
  </si>
  <si>
    <t xml:space="preserve">USD</t>
  </si>
  <si>
    <t xml:space="preserve">2 Oct 2026</t>
  </si>
  <si>
    <t xml:space="preserve">Agilent Technologies</t>
  </si>
  <si>
    <t xml:space="preserve">A</t>
  </si>
  <si>
    <t xml:space="preserve">3 Oct 2026</t>
  </si>
  <si>
    <t xml:space="preserve">AMETEK</t>
  </si>
  <si>
    <t xml:space="preserve">AME</t>
  </si>
  <si>
    <t xml:space="preserve">Waters</t>
  </si>
  <si>
    <t xml:space="preserve">WAT</t>
  </si>
  <si>
    <t xml:space="preserve">Keysight Technologies</t>
  </si>
  <si>
    <t xml:space="preserve">KEYS</t>
  </si>
  <si>
    <t xml:space="preserve">Halma</t>
  </si>
  <si>
    <t xml:space="preserve">HLMA</t>
  </si>
  <si>
    <t xml:space="preserve">GBP</t>
  </si>
  <si>
    <t xml:space="preserve">8 Sep 2026</t>
  </si>
  <si>
    <t xml:space="preserve">Bruker</t>
  </si>
  <si>
    <t xml:space="preserve">BRKR</t>
  </si>
  <si>
    <t xml:space="preserve">Oxford Instruments</t>
  </si>
  <si>
    <t xml:space="preserve">OXIG</t>
  </si>
  <si>
    <t xml:space="preserve">29 Aug 2026</t>
  </si>
  <si>
    <t xml:space="preserve">Median, all peers</t>
  </si>
  <si>
    <t xml:space="preserve">Median, peers with EBITDA margin above 24%</t>
  </si>
  <si>
    <t xml:space="preserve">Median, lower-margin peers (Bruker, Oxford Instruments)</t>
  </si>
  <si>
    <t xml:space="preserve">Spectris 2025E EBITDA margin (model)</t>
  </si>
  <si>
    <t xml:space="preserve">Spectris 2030E EBITDA margin (model)</t>
  </si>
  <si>
    <t xml:space="preserve">Keysight and Waters LTM multiples are inflated by recent acquisitions (Spirent; BD Biosciences) whose earnings are not yet fully in LTM EBITDA.</t>
  </si>
  <si>
    <t xml:space="preserve">EV and EV/EBITDA as reported by the data provider; LTM EBITDA and margin derived from them. Not adjusted to Spectris's EBITDA definition.</t>
  </si>
  <si>
    <t xml:space="preserve">Precedent transactions</t>
  </si>
  <si>
    <t xml:space="preserve">Target</t>
  </si>
  <si>
    <t xml:space="preserve">Acquirer</t>
  </si>
  <si>
    <t xml:space="preserve">EV</t>
  </si>
  <si>
    <t xml:space="preserve">Multiple basis</t>
  </si>
  <si>
    <t xml:space="preserve">EV / EBITDA</t>
  </si>
  <si>
    <t xml:space="preserve">Source</t>
  </si>
  <si>
    <t xml:space="preserve">National Instruments</t>
  </si>
  <si>
    <t xml:space="preserve">Emerson</t>
  </si>
  <si>
    <t xml:space="preserve">Apr 2023</t>
  </si>
  <si>
    <t xml:space="preserve">$8.2bn</t>
  </si>
  <si>
    <t xml:space="preserve">2023E EBITDA</t>
  </si>
  <si>
    <t xml:space="preserve">KPMG T&amp;M Q2 2023</t>
  </si>
  <si>
    <t xml:space="preserve">FLIR Systems</t>
  </si>
  <si>
    <t xml:space="preserve">Teledyne</t>
  </si>
  <si>
    <t xml:space="preserve">May 2021</t>
  </si>
  <si>
    <t xml:space="preserve">LTM EBITDA</t>
  </si>
  <si>
    <t xml:space="preserve">OMEGA Engineering</t>
  </si>
  <si>
    <t xml:space="preserve">Arcline (PE)</t>
  </si>
  <si>
    <t xml:space="preserve">Jul 2022</t>
  </si>
  <si>
    <t xml:space="preserve">$0.5bn</t>
  </si>
  <si>
    <t xml:space="preserve">Spectris</t>
  </si>
  <si>
    <t xml:space="preserve">Advent (original)</t>
  </si>
  <si>
    <t xml:space="preserve">Jun 2025</t>
  </si>
  <si>
    <t xml:space="preserve">FY2024 EBITDA</t>
  </si>
  <si>
    <t xml:space="preserve">Model, Advent price</t>
  </si>
  <si>
    <t xml:space="preserve">KKR (winning)</t>
  </si>
  <si>
    <t xml:space="preserve">Aug 2025</t>
  </si>
  <si>
    <t xml:space="preserve">£4.8bn</t>
  </si>
  <si>
    <t xml:space="preserve">KKR increased offer announcement</t>
  </si>
  <si>
    <t xml:space="preserve">Median of precedents</t>
  </si>
  <si>
    <t xml:space="preserve">Sector trading: instrumentation, EV / 2023E EBITDA (Jun 2023)</t>
  </si>
  <si>
    <t xml:space="preserve">Exit multiple conclusion</t>
  </si>
  <si>
    <t xml:space="preserve">Base-case exit multiple</t>
  </si>
  <si>
    <t xml:space="preserve">Peers with 24-32% EBITDA margins trade at ~24x; Spectris-like margins (15-19%) trade at 17-21x. Precedents cluster at 15-20x.</t>
  </si>
  <si>
    <t xml:space="preserve">The base case (18.0x) assumes Spectris exits with margins near 23-24% but is still valued below premium peers. Paying 20.3x FY24 EBITDA</t>
  </si>
  <si>
    <t xml:space="preserve">and exiting at 18x builds in about two turns of multiple compression; a 20x+ exit needs Spectris to be re-rated alongside the high-margin group.</t>
  </si>
  <si>
    <t xml:space="preserve">Sensitivity tables (IRR)</t>
  </si>
  <si>
    <t xml:space="preserve">Table 1 is fully live. Table 2 needs a full model re-run per cell, so its values are pasted from model runs.</t>
  </si>
  <si>
    <t xml:space="preserve">Table 1: IRR by offer value (rows) and exit multiple (columns). Live formulas.</t>
  </si>
  <si>
    <t xml:space="preserve">Offer value / exit multiple</t>
  </si>
  <si>
    <t xml:space="preserve">IRR = ((2030E EBITDA x multiple - exit net debt - leases) / equity cheque)^(1/5) - 1.</t>
  </si>
  <si>
    <t xml:space="preserve">Exit net debt does not depend on price or exit multiple, so this grid is exact.</t>
  </si>
  <si>
    <t xml:space="preserve">Table 2: IRR by Scientific 2030E margin (rows) and Dynamics 2030E margin (columns). Pasted values.</t>
  </si>
  <si>
    <t xml:space="preserve">Scientific / Dynamics margin</t>
  </si>
  <si>
    <t xml:space="preserve">Purple italic = pasted from model runs at base inputs. To make it live in Excel: put =Returns!C14 in B14,</t>
  </si>
  <si>
    <t xml:space="preserve">select B14:G19, Data &gt; What-If Analysis &gt; Data Table; row input Inputs!C47, column input Inputs!C45.</t>
  </si>
  <si>
    <t xml:space="preserve">Values match the model only while other inputs are at the base case.</t>
  </si>
  <si>
    <t xml:space="preserve">Financing terms (KKR / Project Aurora)</t>
  </si>
  <si>
    <t xml:space="preserve">From the commitment letter term sheet, senior fee letter and RNS announcements published under Rule 26 of the Takeover Code.</t>
  </si>
  <si>
    <t xml:space="preserve">Term</t>
  </si>
  <si>
    <t xml:space="preserve">What the documents say</t>
  </si>
  <si>
    <t xml:space="preserve">Source and model treatment</t>
  </si>
  <si>
    <t xml:space="preserve">Facilities</t>
  </si>
  <si>
    <t xml:space="preserve">Interim: £1,500m term + £250m RCF (2 Jul 2025), RCF raised to £300m (5 Sep). Senior: €975m TLB, $900m TLB, £300m RCF (30 Sep), RCF £325m from 14 Nov 2025.</t>
  </si>
  <si>
    <t xml:space="preserve">Interim facilities agreement update; SFA RNS; equity syndication RNS. Modelled at €975m / $900m.</t>
  </si>
  <si>
    <t xml:space="preserve">Borrowers</t>
  </si>
  <si>
    <t xml:space="preserve">Project Aurora Holdco 1 Limited (parent); Project Aurora Bidco Limited and Project Aurora US Finco Inc. as borrowers.</t>
  </si>
  <si>
    <t xml:space="preserve">SFA RNS. US co-borrower allows a USD tranche placed with US investors.</t>
  </si>
  <si>
    <t xml:space="preserve">Facility B 3.75% p.a.; RCF 3.00%. Leverage ratchet down to 3.00% (TLB) and 2.00% (RCF) at or below 4.00x.</t>
  </si>
  <si>
    <t xml:space="preserve">Commitment letter term sheet. Modelled at 3.75% flat (ratchet not applied).</t>
  </si>
  <si>
    <t xml:space="preserve">Base rate floor</t>
  </si>
  <si>
    <t xml:space="preserve">0% on each facility.</t>
  </si>
  <si>
    <t xml:space="preserve">Term sheet.</t>
  </si>
  <si>
    <t xml:space="preserve">Maturity</t>
  </si>
  <si>
    <t xml:space="preserve">Facility B: 7 years from first utilisation. RCF: 6.5 years.</t>
  </si>
  <si>
    <t xml:space="preserve">Term sheet. Maturity ~Dec 2032, after a 2030 exit.</t>
  </si>
  <si>
    <t xml:space="preserve">Amortisation</t>
  </si>
  <si>
    <t xml:space="preserve">Bullet at maturity; USD tranche 0.25% per quarter.</t>
  </si>
  <si>
    <t xml:space="preserve">Term sheet. Modelled: EUR 0%, USD 1% a year.</t>
  </si>
  <si>
    <t xml:space="preserve">Financial covenant</t>
  </si>
  <si>
    <t xml:space="preserve">RCF only: net senior secured first lien leverage of 10.00:1, no step-downs, tested quarterly only if the RCF is drawn above 45%.</t>
  </si>
  <si>
    <t xml:space="preserve">Term sheet. Effectively covenant-lite for term lenders.</t>
  </si>
  <si>
    <t xml:space="preserve">Incremental debt</t>
  </si>
  <si>
    <t xml:space="preserve">Additional facilities up to 5.00x pro forma leverage, plus a free-and-clear amount of the greater of £300m and 100% of LTM EBITDA.</t>
  </si>
  <si>
    <t xml:space="preserve">Term sheet. Capacity for bolt-on M&amp;A without new equity.</t>
  </si>
  <si>
    <t xml:space="preserve">Call protection</t>
  </si>
  <si>
    <t xml:space="preserve">Six-month 101 soft call on Facility B.</t>
  </si>
  <si>
    <t xml:space="preserve">Term sheet. Repricing possible early.</t>
  </si>
  <si>
    <t xml:space="preserve">Ticking fees</t>
  </si>
  <si>
    <t xml:space="preserve">0% for 60 days after allocation; 50% of margin days 61-120; 100% thereafter.</t>
  </si>
  <si>
    <t xml:space="preserve">Term sheet. ~£1m estimated (Sources &amp; Uses reconciliation).</t>
  </si>
  <si>
    <t xml:space="preserve">Underwriting fees and OID</t>
  </si>
  <si>
    <t xml:space="preserve">TLB: 1.75% (non-USD) and 2.25% (USD) of commitments; OID 1.00%; RCF 1.75%. Market flex caps redacted.</t>
  </si>
  <si>
    <t xml:space="preserve">Senior fee letter. Used to build financing fees in Sources &amp; Uses.</t>
  </si>
  <si>
    <t xml:space="preserve">Arrangers / lenders</t>
  </si>
  <si>
    <t xml:space="preserve">KKR Capital Markets, J.P. Morgan, Jefferies, Crédit Agricole CIB; then BNP Paribas, Commerzbank, NatWest, Helaba, Intesa Sanpaolo, LBBW; HSBC UK (Nov).</t>
  </si>
  <si>
    <t xml:space="preserve">SFA and syndication RNS. KKR Capital Markets arranged its own deal debt.</t>
  </si>
  <si>
    <t xml:space="preserve">Agents</t>
  </si>
  <si>
    <t xml:space="preserve">J.P. Morgan SE (facility agent); Wilmington Trust (London) Limited (security agent).</t>
  </si>
  <si>
    <t xml:space="preserve">SFA RNS.</t>
  </si>
  <si>
    <t xml:space="preserve">Equity</t>
  </si>
  <si>
    <t xml:space="preserve">KKR European Fund VI, North America Fund XIV, KKR Private Equity Conglomerate, K-Prime; co-investors incl. Neuberger Berman, Pathway and a Temasek vehicle; up to £1.04bn (28.54%).</t>
  </si>
  <si>
    <t xml:space="preserve">Equity commitment letters (amounts redacted); syndication RNS.</t>
  </si>
  <si>
    <t xml:space="preserve">Not disclosed</t>
  </si>
  <si>
    <t xml:space="preserve">Final syndicated pricing and OID; EBITDA add-back definitions and caps; MFN; liability-management blockers.</t>
  </si>
  <si>
    <t xml:space="preserve">The long-form SFA is not in the published set. Treated as unknown.</t>
  </si>
  <si>
    <t xml:space="preserve">Model integrity checks</t>
  </si>
  <si>
    <t xml:space="preserve">All checks should read OK.</t>
  </si>
  <si>
    <t xml:space="preserve">Check</t>
  </si>
  <si>
    <t xml:space="preserve">Result</t>
  </si>
  <si>
    <t xml:space="preserve">Sources equal uses</t>
  </si>
  <si>
    <t xml:space="preserve">Value bridge reconciles to equity gain</t>
  </si>
  <si>
    <t xml:space="preserve">Cash-flow IRR equals MOIC-based IRR</t>
  </si>
  <si>
    <t xml:space="preserve">No negative debt balances</t>
  </si>
  <si>
    <t xml:space="preserve">Cash never negative</t>
  </si>
  <si>
    <t xml:space="preserve">Sweep split adds up</t>
  </si>
  <si>
    <t xml:space="preserve">FY2024 EBITDA rebuild matches the £239m in the offer documents</t>
  </si>
  <si>
    <t xml:space="preserve">FY2024 group sales rebuild matches reported £1,298.7m</t>
  </si>
  <si>
    <t xml:space="preserve">EV / FY24 EBITDA within 0.2x of the disclosed 20.3x</t>
  </si>
  <si>
    <t xml:space="preserve">Overall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</si>
</sst>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;\(#,##0.0\);\-"/>
    <numFmt numFmtId="166" formatCode="0.0\x"/>
    <numFmt numFmtId="167" formatCode="0.0%;\(0.0%\);\-"/>
    <numFmt numFmtId="168" formatCode="\£0.00"/>
    <numFmt numFmtId="169" formatCode="0.00%;\(0.00%\);\-"/>
    <numFmt numFmtId="170" formatCode="#,##0;\(#,##0\);\-"/>
    <numFmt numFmtId="171" formatCode="0.000"/>
    <numFmt numFmtId="172" formatCode="0"/>
    <numFmt numFmtId="173" formatCode="0.00"/>
    <numFmt numFmtId="174" formatCode="#,##0.000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2B4D"/>
      <name val="Arial"/>
      <family val="0"/>
      <charset val="1"/>
    </font>
    <font>
      <sz val="12"/>
      <color rgb="FF1F2B4D"/>
      <name val="Arial"/>
      <family val="0"/>
      <charset val="1"/>
    </font>
    <font>
      <sz val="10"/>
      <color rgb="FF6B728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2B4D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u val="single"/>
      <sz val="10"/>
      <color rgb="FF1F4FD1"/>
      <name val="Arial"/>
      <family val="0"/>
      <charset val="1"/>
    </font>
    <font>
      <sz val="9"/>
      <color rgb="FF6B72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7C3AED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16"/>
      <color rgb="FF1F2B4D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8000"/>
      <name val="Arial"/>
      <family val="0"/>
      <charset val="1"/>
    </font>
    <font>
      <b val="true"/>
      <sz val="9"/>
      <color rgb="FFB45309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10"/>
      <color rgb="FF008000"/>
      <name val="Arial"/>
      <family val="0"/>
      <charset val="1"/>
    </font>
    <font>
      <sz val="9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8EDF7"/>
        <bgColor rgb="FFFFFFFF"/>
      </patternFill>
    </fill>
    <fill>
      <patternFill patternType="solid">
        <fgColor rgb="FFFFF4C2"/>
        <bgColor rgb="FFFFFF99"/>
      </patternFill>
    </fill>
    <fill>
      <patternFill patternType="solid">
        <fgColor rgb="FF1F2B4D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1F2B4D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8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2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2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C3AED"/>
      <rgbColor rgb="FFFFF4C2"/>
      <rgbColor rgb="FFE8EDF7"/>
      <rgbColor rgb="FF660066"/>
      <rgbColor rgb="FFFF8080"/>
      <rgbColor rgb="FF1F4FD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AA3B6"/>
      <rgbColor rgb="FF003366"/>
      <rgbColor rgb="FF339966"/>
      <rgbColor rgb="FF003300"/>
      <rgbColor rgb="FF333300"/>
      <rgbColor rgb="FFB45309"/>
      <rgbColor rgb="FF993366"/>
      <rgbColor rgb="FF333399"/>
      <rgbColor rgb="FF1F2B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Spectris_LBO_Model_Leire_Novo_Huerta.xlsx" TargetMode="External"/><Relationship Id="rId2" Type="http://schemas.openxmlformats.org/officeDocument/2006/relationships/hyperlink" Target="Spectris_LBO_Model_Leire_Novo_Huerta.xlsx" TargetMode="External"/><Relationship Id="rId3" Type="http://schemas.openxmlformats.org/officeDocument/2006/relationships/hyperlink" Target="Spectris_LBO_Model_Leire_Novo_Huerta.xlsx" TargetMode="External"/><Relationship Id="rId4" Type="http://schemas.openxmlformats.org/officeDocument/2006/relationships/hyperlink" Target="Spectris_LBO_Model_Leire_Novo_Huerta.xlsx" TargetMode="External"/><Relationship Id="rId5" Type="http://schemas.openxmlformats.org/officeDocument/2006/relationships/hyperlink" Target="Spectris_LBO_Model_Leire_Novo_Huerta.xlsx" TargetMode="External"/><Relationship Id="rId6" Type="http://schemas.openxmlformats.org/officeDocument/2006/relationships/hyperlink" Target="Spectris_LBO_Model_Leire_Novo_Huerta.xlsx" TargetMode="External"/><Relationship Id="rId7" Type="http://schemas.openxmlformats.org/officeDocument/2006/relationships/hyperlink" Target="Spectris_LBO_Model_Leire_Novo_Huerta.xlsx" TargetMode="External"/><Relationship Id="rId8" Type="http://schemas.openxmlformats.org/officeDocument/2006/relationships/hyperlink" Target="Spectris_LBO_Model_Leire_Novo_Huerta.xlsx" TargetMode="External"/><Relationship Id="rId9" Type="http://schemas.openxmlformats.org/officeDocument/2006/relationships/hyperlink" Target="Spectris_LBO_Model_Leire_Novo_Huerta.xlsx" TargetMode="External"/><Relationship Id="rId10" Type="http://schemas.openxmlformats.org/officeDocument/2006/relationships/hyperlink" Target="Spectris_LBO_Model_Leire_Novo_Huerta.xlsx" TargetMode="External"/><Relationship Id="rId11" Type="http://schemas.openxmlformats.org/officeDocument/2006/relationships/hyperlink" Target="Spectris_LBO_Model_Leire_Novo_Huerta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B4D"/>
    <pageSetUpPr fitToPage="false"/>
  </sheetPr>
  <dimension ref="B2:D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7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24" hidden="false" customHeight="true" outlineLevel="0" collapsed="false">
      <c r="B6" s="4" t="s">
        <v>3</v>
      </c>
      <c r="C6" s="4"/>
      <c r="D6" s="4"/>
    </row>
    <row r="7" customFormat="false" ht="15" hidden="false" customHeight="false" outlineLevel="0" collapsed="false">
      <c r="B7" s="4"/>
      <c r="C7" s="4"/>
      <c r="D7" s="4"/>
    </row>
    <row r="9" customFormat="false" ht="15" hidden="false" customHeight="false" outlineLevel="0" collapsed="false">
      <c r="B9" s="5" t="s">
        <v>4</v>
      </c>
      <c r="C9" s="6"/>
      <c r="D9" s="6"/>
    </row>
    <row r="10" customFormat="false" ht="15" hidden="false" customHeight="false" outlineLevel="0" collapsed="false">
      <c r="B10" s="7" t="s">
        <v>5</v>
      </c>
      <c r="C10" s="8" t="n">
        <f aca="false">'Sources &amp; Uses'!C22</f>
        <v>4822.25</v>
      </c>
    </row>
    <row r="11" customFormat="false" ht="15" hidden="false" customHeight="false" outlineLevel="0" collapsed="false">
      <c r="B11" s="7" t="s">
        <v>6</v>
      </c>
      <c r="C11" s="9" t="n">
        <f aca="false">'Sources &amp; Uses'!C23</f>
        <v>20.1767782426778</v>
      </c>
    </row>
    <row r="12" customFormat="false" ht="15" hidden="false" customHeight="false" outlineLevel="0" collapsed="false">
      <c r="B12" s="7" t="s">
        <v>7</v>
      </c>
      <c r="C12" s="9" t="n">
        <f aca="false">'Sources &amp; Uses'!C24</f>
        <v>19.0955910696744</v>
      </c>
    </row>
    <row r="13" customFormat="false" ht="15" hidden="false" customHeight="false" outlineLevel="0" collapsed="false">
      <c r="B13" s="7" t="s">
        <v>8</v>
      </c>
      <c r="C13" s="9" t="n">
        <f aca="false">'Sources &amp; Uses'!C25</f>
        <v>6.35937987884844</v>
      </c>
    </row>
    <row r="14" customFormat="false" ht="15" hidden="false" customHeight="false" outlineLevel="0" collapsed="false">
      <c r="B14" s="7" t="s">
        <v>9</v>
      </c>
      <c r="C14" s="8" t="n">
        <f aca="false">'Sources &amp; Uses'!C16</f>
        <v>3436.79235216418</v>
      </c>
    </row>
    <row r="15" customFormat="false" ht="15" hidden="false" customHeight="false" outlineLevel="0" collapsed="false">
      <c r="B15" s="7" t="s">
        <v>10</v>
      </c>
      <c r="C15" s="9" t="n">
        <f aca="false">Returns!C13</f>
        <v>1.97608051220601</v>
      </c>
    </row>
    <row r="16" customFormat="false" ht="15" hidden="false" customHeight="false" outlineLevel="0" collapsed="false">
      <c r="B16" s="7" t="s">
        <v>11</v>
      </c>
      <c r="C16" s="10" t="n">
        <f aca="false">Returns!C14</f>
        <v>0.145937487880933</v>
      </c>
    </row>
    <row r="17" customFormat="false" ht="15" hidden="false" customHeight="false" outlineLevel="0" collapsed="false">
      <c r="B17" s="7" t="s">
        <v>12</v>
      </c>
      <c r="C17" s="11" t="n">
        <f aca="false">Returns!C33</f>
        <v>37.1188983879516</v>
      </c>
    </row>
    <row r="18" customFormat="false" ht="15" hidden="false" customHeight="false" outlineLevel="0" collapsed="false">
      <c r="B18" s="7" t="s">
        <v>13</v>
      </c>
      <c r="C18" s="9" t="n">
        <f aca="false">Returns!C31</f>
        <v>20.5338244020829</v>
      </c>
    </row>
    <row r="19" customFormat="false" ht="15" hidden="false" customHeight="false" outlineLevel="0" collapsed="false">
      <c r="B19" s="7" t="s">
        <v>14</v>
      </c>
      <c r="C19" s="10" t="n">
        <f aca="false">'Bid Comparison'!J11</f>
        <v>0.0299968301533298</v>
      </c>
    </row>
    <row r="20" customFormat="false" ht="15" hidden="false" customHeight="false" outlineLevel="0" collapsed="false">
      <c r="B20" s="7" t="s">
        <v>15</v>
      </c>
      <c r="C20" s="12" t="str">
        <f aca="false">Checks!D16</f>
        <v>ALL OK</v>
      </c>
    </row>
    <row r="22" customFormat="false" ht="15" hidden="false" customHeight="false" outlineLevel="0" collapsed="false">
      <c r="B22" s="5" t="s">
        <v>16</v>
      </c>
      <c r="C22" s="6"/>
      <c r="D22" s="6"/>
    </row>
    <row r="23" customFormat="false" ht="15" hidden="false" customHeight="false" outlineLevel="0" collapsed="false">
      <c r="B23" s="13" t="s">
        <v>17</v>
      </c>
      <c r="D23" s="14" t="s">
        <v>18</v>
      </c>
    </row>
    <row r="24" customFormat="false" ht="15" hidden="false" customHeight="false" outlineLevel="0" collapsed="false">
      <c r="B24" s="13" t="s">
        <v>19</v>
      </c>
      <c r="D24" s="14" t="s">
        <v>20</v>
      </c>
    </row>
    <row r="25" customFormat="false" ht="15" hidden="false" customHeight="false" outlineLevel="0" collapsed="false">
      <c r="B25" s="13" t="s">
        <v>21</v>
      </c>
      <c r="D25" s="14" t="s">
        <v>22</v>
      </c>
    </row>
    <row r="26" customFormat="false" ht="15" hidden="false" customHeight="false" outlineLevel="0" collapsed="false">
      <c r="B26" s="13" t="s">
        <v>23</v>
      </c>
      <c r="D26" s="14" t="s">
        <v>24</v>
      </c>
    </row>
    <row r="27" customFormat="false" ht="15" hidden="false" customHeight="false" outlineLevel="0" collapsed="false">
      <c r="B27" s="13" t="s">
        <v>25</v>
      </c>
      <c r="D27" s="14" t="s">
        <v>26</v>
      </c>
    </row>
    <row r="28" customFormat="false" ht="15" hidden="false" customHeight="false" outlineLevel="0" collapsed="false">
      <c r="B28" s="13" t="s">
        <v>27</v>
      </c>
      <c r="D28" s="14" t="s">
        <v>28</v>
      </c>
    </row>
    <row r="29" customFormat="false" ht="15" hidden="false" customHeight="false" outlineLevel="0" collapsed="false">
      <c r="B29" s="13" t="s">
        <v>29</v>
      </c>
      <c r="D29" s="14" t="s">
        <v>30</v>
      </c>
    </row>
    <row r="30" customFormat="false" ht="15" hidden="false" customHeight="false" outlineLevel="0" collapsed="false">
      <c r="B30" s="13" t="s">
        <v>31</v>
      </c>
      <c r="D30" s="14" t="s">
        <v>32</v>
      </c>
    </row>
    <row r="31" customFormat="false" ht="15" hidden="false" customHeight="false" outlineLevel="0" collapsed="false">
      <c r="B31" s="13" t="s">
        <v>33</v>
      </c>
      <c r="D31" s="14" t="s">
        <v>34</v>
      </c>
    </row>
    <row r="32" customFormat="false" ht="15" hidden="false" customHeight="false" outlineLevel="0" collapsed="false">
      <c r="B32" s="13" t="s">
        <v>35</v>
      </c>
      <c r="D32" s="14" t="s">
        <v>36</v>
      </c>
    </row>
    <row r="33" customFormat="false" ht="15" hidden="false" customHeight="false" outlineLevel="0" collapsed="false">
      <c r="B33" s="13" t="s">
        <v>37</v>
      </c>
      <c r="D33" s="14" t="s">
        <v>38</v>
      </c>
    </row>
    <row r="35" customFormat="false" ht="15" hidden="false" customHeight="false" outlineLevel="0" collapsed="false">
      <c r="B35" s="5" t="s">
        <v>39</v>
      </c>
      <c r="C35" s="6"/>
      <c r="D35" s="6"/>
    </row>
    <row r="36" customFormat="false" ht="15" hidden="false" customHeight="false" outlineLevel="0" collapsed="false">
      <c r="B36" s="15" t="s">
        <v>40</v>
      </c>
      <c r="D36" s="14" t="s">
        <v>41</v>
      </c>
    </row>
    <row r="37" customFormat="false" ht="15" hidden="false" customHeight="false" outlineLevel="0" collapsed="false">
      <c r="B37" s="7" t="s">
        <v>42</v>
      </c>
      <c r="D37" s="14" t="s">
        <v>43</v>
      </c>
    </row>
    <row r="38" customFormat="false" ht="15" hidden="false" customHeight="false" outlineLevel="0" collapsed="false">
      <c r="B38" s="16" t="s">
        <v>44</v>
      </c>
      <c r="D38" s="14" t="s">
        <v>45</v>
      </c>
    </row>
    <row r="39" customFormat="false" ht="15" hidden="false" customHeight="false" outlineLevel="0" collapsed="false">
      <c r="B39" s="17" t="s">
        <v>46</v>
      </c>
      <c r="D39" s="14" t="s">
        <v>47</v>
      </c>
    </row>
    <row r="40" customFormat="false" ht="15" hidden="false" customHeight="false" outlineLevel="0" collapsed="false">
      <c r="B40" s="18" t="s">
        <v>48</v>
      </c>
      <c r="D40" s="14" t="s">
        <v>49</v>
      </c>
    </row>
    <row r="42" customFormat="false" ht="15" hidden="false" customHeight="true" outlineLevel="0" collapsed="false">
      <c r="B42" s="19" t="s">
        <v>50</v>
      </c>
      <c r="C42" s="19"/>
      <c r="D42" s="19"/>
    </row>
    <row r="43" customFormat="false" ht="15" hidden="false" customHeight="false" outlineLevel="0" collapsed="false">
      <c r="B43" s="19"/>
      <c r="C43" s="19"/>
      <c r="D43" s="19"/>
    </row>
  </sheetData>
  <mergeCells count="2">
    <mergeCell ref="B6:D7"/>
    <mergeCell ref="B42:D43"/>
  </mergeCells>
  <hyperlinks>
    <hyperlink ref="B23" r:id="rId1" location="'Inputs'!A1" display="Inputs"/>
    <hyperlink ref="B24" r:id="rId2" location="'Historicals'!A1" display="Historicals"/>
    <hyperlink ref="B25" r:id="rId3" location="'Operating%20Model'!A1" display="Operating Model"/>
    <hyperlink ref="B26" r:id="rId4" location="'Sources%20&amp;%20Uses'!A1" display="Sources &amp; Uses"/>
    <hyperlink ref="B27" r:id="rId5" location="'Debt%20Schedule'!A1" display="Debt Schedule"/>
    <hyperlink ref="B28" r:id="rId6" location="'Returns'!A1" display="Returns"/>
    <hyperlink ref="B29" r:id="rId7" location="'Bid%20Comparison'!A1" display="Bid Comparison"/>
    <hyperlink ref="B30" r:id="rId8" location="'Comparables'!A1" display="Comparables"/>
    <hyperlink ref="B31" r:id="rId9" location="'Sensitivities'!A1" display="Sensitivities"/>
    <hyperlink ref="B32" r:id="rId10" location="'Financing%20Terms'!A1" display="Financing Terms"/>
    <hyperlink ref="B33" r:id="rId11" location="'Checks'!A1" display="Check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B4D"/>
    <pageSetUpPr fitToPage="false"/>
  </sheetPr>
  <dimension ref="B2:F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82"/>
  </cols>
  <sheetData>
    <row r="2" customFormat="false" ht="19.7" hidden="false" customHeight="false" outlineLevel="0" collapsed="false">
      <c r="B2" s="20" t="s">
        <v>51</v>
      </c>
    </row>
    <row r="3" customFormat="false" ht="15" hidden="false" customHeight="false" outlineLevel="0" collapsed="false">
      <c r="B3" s="21" t="s">
        <v>52</v>
      </c>
    </row>
    <row r="5" customFormat="false" ht="15" hidden="false" customHeight="false" outlineLevel="0" collapsed="false">
      <c r="B5" s="22" t="s">
        <v>53</v>
      </c>
      <c r="C5" s="23" t="s">
        <v>54</v>
      </c>
      <c r="D5" s="23" t="s">
        <v>55</v>
      </c>
      <c r="E5" s="23" t="s">
        <v>56</v>
      </c>
      <c r="F5" s="23" t="s">
        <v>57</v>
      </c>
    </row>
    <row r="6" customFormat="false" ht="15" hidden="false" customHeight="false" outlineLevel="0" collapsed="false">
      <c r="B6" s="5" t="s">
        <v>58</v>
      </c>
      <c r="C6" s="6"/>
      <c r="D6" s="6"/>
      <c r="E6" s="6"/>
      <c r="F6" s="6"/>
    </row>
    <row r="7" customFormat="false" ht="15" hidden="false" customHeight="false" outlineLevel="0" collapsed="false">
      <c r="B7" s="7" t="s">
        <v>59</v>
      </c>
      <c r="C7" s="24" t="n">
        <v>41.75</v>
      </c>
      <c r="D7" s="3" t="s">
        <v>60</v>
      </c>
      <c r="E7" s="25" t="s">
        <v>61</v>
      </c>
      <c r="F7" s="14" t="s">
        <v>62</v>
      </c>
    </row>
    <row r="8" customFormat="false" ht="15" hidden="false" customHeight="false" outlineLevel="0" collapsed="false">
      <c r="B8" s="7" t="s">
        <v>63</v>
      </c>
      <c r="C8" s="24" t="n">
        <v>0.28</v>
      </c>
      <c r="D8" s="3" t="s">
        <v>60</v>
      </c>
      <c r="E8" s="25" t="s">
        <v>61</v>
      </c>
      <c r="F8" s="14" t="s">
        <v>64</v>
      </c>
    </row>
    <row r="9" customFormat="false" ht="15" hidden="false" customHeight="false" outlineLevel="0" collapsed="false">
      <c r="B9" s="7" t="s">
        <v>65</v>
      </c>
      <c r="C9" s="26" t="n">
        <v>100.6</v>
      </c>
      <c r="D9" s="3" t="s">
        <v>66</v>
      </c>
      <c r="E9" s="25" t="s">
        <v>61</v>
      </c>
      <c r="F9" s="14" t="s">
        <v>67</v>
      </c>
    </row>
    <row r="10" customFormat="false" ht="15" hidden="false" customHeight="false" outlineLevel="0" collapsed="false">
      <c r="B10" s="7" t="s">
        <v>68</v>
      </c>
      <c r="C10" s="24" t="n">
        <v>20.38</v>
      </c>
      <c r="D10" s="3" t="s">
        <v>60</v>
      </c>
      <c r="E10" s="25" t="s">
        <v>61</v>
      </c>
      <c r="F10" s="14" t="s">
        <v>69</v>
      </c>
    </row>
    <row r="11" customFormat="false" ht="15" hidden="false" customHeight="false" outlineLevel="0" collapsed="false">
      <c r="B11" s="7" t="s">
        <v>70</v>
      </c>
      <c r="C11" s="26" t="n">
        <v>239</v>
      </c>
      <c r="D11" s="3" t="s">
        <v>71</v>
      </c>
      <c r="E11" s="25" t="s">
        <v>61</v>
      </c>
      <c r="F11" s="14" t="s">
        <v>72</v>
      </c>
    </row>
    <row r="12" customFormat="false" ht="15" hidden="false" customHeight="false" outlineLevel="0" collapsed="false">
      <c r="B12" s="5" t="s">
        <v>73</v>
      </c>
      <c r="C12" s="6"/>
      <c r="D12" s="6"/>
      <c r="E12" s="6"/>
      <c r="F12" s="6"/>
    </row>
    <row r="13" customFormat="false" ht="15" hidden="false" customHeight="false" outlineLevel="0" collapsed="false">
      <c r="B13" s="7" t="s">
        <v>74</v>
      </c>
      <c r="C13" s="26" t="n">
        <v>545.7</v>
      </c>
      <c r="D13" s="3" t="s">
        <v>71</v>
      </c>
      <c r="E13" s="25" t="s">
        <v>61</v>
      </c>
      <c r="F13" s="14" t="s">
        <v>75</v>
      </c>
    </row>
    <row r="14" customFormat="false" ht="15" hidden="false" customHeight="false" outlineLevel="0" collapsed="false">
      <c r="B14" s="7" t="s">
        <v>76</v>
      </c>
      <c r="C14" s="26" t="n">
        <v>633.1</v>
      </c>
      <c r="D14" s="3" t="s">
        <v>71</v>
      </c>
      <c r="E14" s="25" t="s">
        <v>61</v>
      </c>
      <c r="F14" s="14" t="s">
        <v>77</v>
      </c>
    </row>
    <row r="15" customFormat="false" ht="15" hidden="false" customHeight="false" outlineLevel="0" collapsed="false">
      <c r="B15" s="7" t="s">
        <v>78</v>
      </c>
      <c r="C15" s="26" t="n">
        <v>59.2</v>
      </c>
      <c r="D15" s="3" t="s">
        <v>71</v>
      </c>
      <c r="E15" s="27" t="s">
        <v>79</v>
      </c>
      <c r="F15" s="14" t="s">
        <v>80</v>
      </c>
    </row>
    <row r="16" customFormat="false" ht="15" hidden="false" customHeight="false" outlineLevel="0" collapsed="false">
      <c r="B16" s="7" t="s">
        <v>81</v>
      </c>
      <c r="C16" s="26" t="n">
        <v>76.5</v>
      </c>
      <c r="D16" s="3" t="s">
        <v>71</v>
      </c>
      <c r="E16" s="25" t="s">
        <v>61</v>
      </c>
      <c r="F16" s="14" t="s">
        <v>82</v>
      </c>
    </row>
    <row r="17" customFormat="false" ht="15" hidden="false" customHeight="false" outlineLevel="0" collapsed="false">
      <c r="B17" s="5" t="s">
        <v>83</v>
      </c>
      <c r="C17" s="6"/>
      <c r="D17" s="6"/>
      <c r="E17" s="6"/>
      <c r="F17" s="6"/>
    </row>
    <row r="18" customFormat="false" ht="15" hidden="false" customHeight="false" outlineLevel="0" collapsed="false">
      <c r="B18" s="7" t="s">
        <v>84</v>
      </c>
      <c r="C18" s="28" t="n">
        <v>0.0175</v>
      </c>
      <c r="D18" s="3" t="s">
        <v>85</v>
      </c>
      <c r="E18" s="25" t="s">
        <v>61</v>
      </c>
      <c r="F18" s="14" t="s">
        <v>86</v>
      </c>
    </row>
    <row r="19" customFormat="false" ht="15" hidden="false" customHeight="false" outlineLevel="0" collapsed="false">
      <c r="B19" s="7" t="s">
        <v>87</v>
      </c>
      <c r="C19" s="28" t="n">
        <v>0.0225</v>
      </c>
      <c r="D19" s="3" t="s">
        <v>85</v>
      </c>
      <c r="E19" s="25" t="s">
        <v>61</v>
      </c>
      <c r="F19" s="14" t="s">
        <v>88</v>
      </c>
    </row>
    <row r="20" customFormat="false" ht="15" hidden="false" customHeight="false" outlineLevel="0" collapsed="false">
      <c r="B20" s="7" t="s">
        <v>89</v>
      </c>
      <c r="C20" s="28" t="n">
        <v>0.01</v>
      </c>
      <c r="D20" s="3" t="s">
        <v>85</v>
      </c>
      <c r="E20" s="25" t="s">
        <v>61</v>
      </c>
      <c r="F20" s="14" t="s">
        <v>90</v>
      </c>
    </row>
    <row r="21" customFormat="false" ht="15" hidden="false" customHeight="false" outlineLevel="0" collapsed="false">
      <c r="B21" s="7" t="s">
        <v>91</v>
      </c>
      <c r="C21" s="28" t="n">
        <v>0.0175</v>
      </c>
      <c r="D21" s="3" t="s">
        <v>85</v>
      </c>
      <c r="E21" s="25" t="s">
        <v>61</v>
      </c>
      <c r="F21" s="14" t="s">
        <v>92</v>
      </c>
    </row>
    <row r="22" customFormat="false" ht="15" hidden="false" customHeight="false" outlineLevel="0" collapsed="false">
      <c r="B22" s="7" t="s">
        <v>93</v>
      </c>
      <c r="C22" s="28" t="n">
        <v>0.005</v>
      </c>
      <c r="D22" s="3" t="s">
        <v>85</v>
      </c>
      <c r="E22" s="27" t="s">
        <v>79</v>
      </c>
      <c r="F22" s="14" t="s">
        <v>94</v>
      </c>
    </row>
    <row r="23" customFormat="false" ht="15" hidden="false" customHeight="false" outlineLevel="0" collapsed="false">
      <c r="B23" s="7" t="s">
        <v>95</v>
      </c>
      <c r="C23" s="26" t="n">
        <v>45</v>
      </c>
      <c r="D23" s="3" t="s">
        <v>71</v>
      </c>
      <c r="E23" s="27" t="s">
        <v>79</v>
      </c>
      <c r="F23" s="14" t="s">
        <v>96</v>
      </c>
    </row>
    <row r="24" customFormat="false" ht="15" hidden="false" customHeight="false" outlineLevel="0" collapsed="false">
      <c r="B24" s="7" t="s">
        <v>97</v>
      </c>
      <c r="C24" s="26" t="n">
        <v>35</v>
      </c>
      <c r="D24" s="3" t="s">
        <v>71</v>
      </c>
      <c r="E24" s="27" t="s">
        <v>79</v>
      </c>
      <c r="F24" s="14" t="s">
        <v>98</v>
      </c>
    </row>
    <row r="25" customFormat="false" ht="15" hidden="false" customHeight="false" outlineLevel="0" collapsed="false">
      <c r="B25" s="5" t="s">
        <v>99</v>
      </c>
      <c r="C25" s="6"/>
      <c r="D25" s="6"/>
      <c r="E25" s="6"/>
      <c r="F25" s="6"/>
    </row>
    <row r="26" customFormat="false" ht="15" hidden="false" customHeight="false" outlineLevel="0" collapsed="false">
      <c r="B26" s="7" t="s">
        <v>100</v>
      </c>
      <c r="C26" s="29" t="n">
        <v>975</v>
      </c>
      <c r="D26" s="3" t="s">
        <v>101</v>
      </c>
      <c r="E26" s="25" t="s">
        <v>61</v>
      </c>
      <c r="F26" s="14" t="s">
        <v>102</v>
      </c>
    </row>
    <row r="27" customFormat="false" ht="15" hidden="false" customHeight="false" outlineLevel="0" collapsed="false">
      <c r="B27" s="7" t="s">
        <v>103</v>
      </c>
      <c r="C27" s="29" t="n">
        <v>900</v>
      </c>
      <c r="D27" s="3" t="s">
        <v>104</v>
      </c>
      <c r="E27" s="25" t="s">
        <v>61</v>
      </c>
      <c r="F27" s="14" t="s">
        <v>102</v>
      </c>
    </row>
    <row r="28" customFormat="false" ht="15" hidden="false" customHeight="false" outlineLevel="0" collapsed="false">
      <c r="B28" s="7" t="s">
        <v>105</v>
      </c>
      <c r="C28" s="29" t="n">
        <v>325</v>
      </c>
      <c r="D28" s="3" t="s">
        <v>71</v>
      </c>
      <c r="E28" s="25" t="s">
        <v>61</v>
      </c>
      <c r="F28" s="14" t="s">
        <v>106</v>
      </c>
    </row>
    <row r="29" customFormat="false" ht="15" hidden="false" customHeight="false" outlineLevel="0" collapsed="false">
      <c r="B29" s="7" t="s">
        <v>107</v>
      </c>
      <c r="C29" s="30" t="n">
        <v>0.87</v>
      </c>
      <c r="D29" s="3" t="s">
        <v>108</v>
      </c>
      <c r="E29" s="27" t="s">
        <v>79</v>
      </c>
      <c r="F29" s="14" t="s">
        <v>109</v>
      </c>
    </row>
    <row r="30" customFormat="false" ht="15" hidden="false" customHeight="false" outlineLevel="0" collapsed="false">
      <c r="B30" s="7" t="s">
        <v>110</v>
      </c>
      <c r="C30" s="30" t="n">
        <v>1.34</v>
      </c>
      <c r="D30" s="3" t="s">
        <v>108</v>
      </c>
      <c r="E30" s="27" t="s">
        <v>79</v>
      </c>
      <c r="F30" s="14" t="s">
        <v>109</v>
      </c>
    </row>
    <row r="31" customFormat="false" ht="15" hidden="false" customHeight="false" outlineLevel="0" collapsed="false">
      <c r="B31" s="7" t="s">
        <v>111</v>
      </c>
      <c r="C31" s="28" t="n">
        <v>0.0375</v>
      </c>
      <c r="D31" s="3" t="s">
        <v>85</v>
      </c>
      <c r="E31" s="25" t="s">
        <v>61</v>
      </c>
      <c r="F31" s="14" t="s">
        <v>112</v>
      </c>
    </row>
    <row r="32" customFormat="false" ht="15" hidden="false" customHeight="false" outlineLevel="0" collapsed="false">
      <c r="B32" s="7" t="s">
        <v>113</v>
      </c>
      <c r="C32" s="28" t="n">
        <v>0.02</v>
      </c>
      <c r="D32" s="3" t="s">
        <v>85</v>
      </c>
      <c r="E32" s="27" t="s">
        <v>79</v>
      </c>
      <c r="F32" s="14" t="s">
        <v>114</v>
      </c>
    </row>
    <row r="33" customFormat="false" ht="15" hidden="false" customHeight="false" outlineLevel="0" collapsed="false">
      <c r="B33" s="7" t="s">
        <v>115</v>
      </c>
      <c r="C33" s="28" t="n">
        <v>0.036</v>
      </c>
      <c r="D33" s="3" t="s">
        <v>85</v>
      </c>
      <c r="E33" s="27" t="s">
        <v>79</v>
      </c>
      <c r="F33" s="14" t="s">
        <v>114</v>
      </c>
    </row>
    <row r="34" customFormat="false" ht="15" hidden="false" customHeight="false" outlineLevel="0" collapsed="false">
      <c r="B34" s="7" t="s">
        <v>116</v>
      </c>
      <c r="C34" s="28" t="n">
        <v>0</v>
      </c>
      <c r="D34" s="3" t="s">
        <v>85</v>
      </c>
      <c r="E34" s="25" t="s">
        <v>61</v>
      </c>
      <c r="F34" s="14" t="s">
        <v>117</v>
      </c>
    </row>
    <row r="35" customFormat="false" ht="15" hidden="false" customHeight="false" outlineLevel="0" collapsed="false">
      <c r="B35" s="7" t="s">
        <v>118</v>
      </c>
      <c r="C35" s="28" t="n">
        <v>0.01</v>
      </c>
      <c r="D35" s="3" t="s">
        <v>85</v>
      </c>
      <c r="E35" s="25" t="s">
        <v>61</v>
      </c>
      <c r="F35" s="14" t="s">
        <v>119</v>
      </c>
    </row>
    <row r="36" customFormat="false" ht="15" hidden="false" customHeight="false" outlineLevel="0" collapsed="false">
      <c r="B36" s="7" t="s">
        <v>120</v>
      </c>
      <c r="C36" s="31" t="n">
        <v>0.5</v>
      </c>
      <c r="D36" s="3" t="s">
        <v>85</v>
      </c>
      <c r="E36" s="27" t="s">
        <v>79</v>
      </c>
      <c r="F36" s="14" t="s">
        <v>121</v>
      </c>
    </row>
    <row r="37" customFormat="false" ht="15" hidden="false" customHeight="false" outlineLevel="0" collapsed="false">
      <c r="B37" s="5" t="s">
        <v>122</v>
      </c>
      <c r="C37" s="6"/>
      <c r="D37" s="6"/>
      <c r="E37" s="6"/>
      <c r="F37" s="6"/>
    </row>
    <row r="38" customFormat="false" ht="15" hidden="false" customHeight="false" outlineLevel="0" collapsed="false">
      <c r="B38" s="7" t="s">
        <v>123</v>
      </c>
      <c r="C38" s="31" t="n">
        <v>0.04</v>
      </c>
      <c r="D38" s="3" t="s">
        <v>85</v>
      </c>
      <c r="E38" s="27" t="s">
        <v>79</v>
      </c>
      <c r="F38" s="14" t="s">
        <v>124</v>
      </c>
    </row>
    <row r="39" customFormat="false" ht="15" hidden="false" customHeight="false" outlineLevel="0" collapsed="false">
      <c r="B39" s="7" t="s">
        <v>125</v>
      </c>
      <c r="C39" s="31" t="n">
        <v>0.235</v>
      </c>
      <c r="D39" s="3" t="s">
        <v>85</v>
      </c>
      <c r="E39" s="27" t="s">
        <v>79</v>
      </c>
      <c r="F39" s="14" t="s">
        <v>126</v>
      </c>
    </row>
    <row r="40" customFormat="false" ht="15" hidden="false" customHeight="false" outlineLevel="0" collapsed="false">
      <c r="B40" s="7" t="s">
        <v>127</v>
      </c>
      <c r="C40" s="31" t="n">
        <v>-0.01</v>
      </c>
      <c r="D40" s="3" t="s">
        <v>85</v>
      </c>
      <c r="E40" s="27" t="s">
        <v>79</v>
      </c>
      <c r="F40" s="14" t="s">
        <v>128</v>
      </c>
    </row>
    <row r="41" customFormat="false" ht="15" hidden="false" customHeight="false" outlineLevel="0" collapsed="false">
      <c r="B41" s="7" t="s">
        <v>129</v>
      </c>
      <c r="C41" s="31" t="n">
        <v>0.175</v>
      </c>
      <c r="D41" s="3" t="s">
        <v>85</v>
      </c>
      <c r="E41" s="27" t="s">
        <v>79</v>
      </c>
      <c r="F41" s="14" t="s">
        <v>130</v>
      </c>
    </row>
    <row r="42" customFormat="false" ht="15" hidden="false" customHeight="false" outlineLevel="0" collapsed="false">
      <c r="B42" s="7" t="s">
        <v>131</v>
      </c>
      <c r="C42" s="26" t="n">
        <v>15</v>
      </c>
      <c r="D42" s="3" t="s">
        <v>71</v>
      </c>
      <c r="E42" s="27" t="s">
        <v>79</v>
      </c>
      <c r="F42" s="14" t="s">
        <v>132</v>
      </c>
    </row>
    <row r="43" customFormat="false" ht="15" hidden="false" customHeight="false" outlineLevel="0" collapsed="false">
      <c r="B43" s="5" t="s">
        <v>133</v>
      </c>
      <c r="C43" s="6"/>
      <c r="D43" s="6"/>
      <c r="E43" s="6"/>
      <c r="F43" s="6"/>
    </row>
    <row r="44" customFormat="false" ht="15" hidden="false" customHeight="false" outlineLevel="0" collapsed="false">
      <c r="B44" s="7" t="s">
        <v>134</v>
      </c>
      <c r="C44" s="32" t="n">
        <v>0.065</v>
      </c>
      <c r="D44" s="3" t="s">
        <v>85</v>
      </c>
      <c r="E44" s="27" t="s">
        <v>79</v>
      </c>
      <c r="F44" s="14" t="s">
        <v>135</v>
      </c>
    </row>
    <row r="45" customFormat="false" ht="15" hidden="false" customHeight="false" outlineLevel="0" collapsed="false">
      <c r="B45" s="7" t="s">
        <v>136</v>
      </c>
      <c r="C45" s="32" t="n">
        <v>0.23</v>
      </c>
      <c r="D45" s="3" t="s">
        <v>85</v>
      </c>
      <c r="E45" s="27" t="s">
        <v>79</v>
      </c>
      <c r="F45" s="14" t="s">
        <v>137</v>
      </c>
    </row>
    <row r="46" customFormat="false" ht="15" hidden="false" customHeight="false" outlineLevel="0" collapsed="false">
      <c r="B46" s="7" t="s">
        <v>138</v>
      </c>
      <c r="C46" s="32" t="n">
        <v>0.045</v>
      </c>
      <c r="D46" s="3" t="s">
        <v>85</v>
      </c>
      <c r="E46" s="27" t="s">
        <v>79</v>
      </c>
      <c r="F46" s="14" t="s">
        <v>139</v>
      </c>
    </row>
    <row r="47" customFormat="false" ht="15" hidden="false" customHeight="false" outlineLevel="0" collapsed="false">
      <c r="B47" s="7" t="s">
        <v>140</v>
      </c>
      <c r="C47" s="32" t="n">
        <v>0.19</v>
      </c>
      <c r="D47" s="3" t="s">
        <v>85</v>
      </c>
      <c r="E47" s="27" t="s">
        <v>79</v>
      </c>
      <c r="F47" s="14" t="s">
        <v>141</v>
      </c>
    </row>
    <row r="48" customFormat="false" ht="15" hidden="false" customHeight="false" outlineLevel="0" collapsed="false">
      <c r="B48" s="7" t="s">
        <v>142</v>
      </c>
      <c r="C48" s="31" t="n">
        <v>0.03</v>
      </c>
      <c r="D48" s="3" t="s">
        <v>85</v>
      </c>
      <c r="E48" s="27" t="s">
        <v>79</v>
      </c>
      <c r="F48" s="14" t="s">
        <v>143</v>
      </c>
    </row>
    <row r="49" customFormat="false" ht="15" hidden="false" customHeight="false" outlineLevel="0" collapsed="false">
      <c r="B49" s="7" t="s">
        <v>144</v>
      </c>
      <c r="C49" s="31" t="n">
        <v>0.028</v>
      </c>
      <c r="D49" s="3" t="s">
        <v>85</v>
      </c>
      <c r="E49" s="25" t="s">
        <v>61</v>
      </c>
      <c r="F49" s="14" t="s">
        <v>145</v>
      </c>
    </row>
    <row r="50" customFormat="false" ht="15" hidden="false" customHeight="false" outlineLevel="0" collapsed="false">
      <c r="B50" s="7" t="s">
        <v>146</v>
      </c>
      <c r="C50" s="31" t="n">
        <v>0.03</v>
      </c>
      <c r="D50" s="3" t="s">
        <v>85</v>
      </c>
      <c r="E50" s="27" t="s">
        <v>79</v>
      </c>
      <c r="F50" s="14" t="s">
        <v>147</v>
      </c>
    </row>
    <row r="51" customFormat="false" ht="15" hidden="false" customHeight="false" outlineLevel="0" collapsed="false">
      <c r="B51" s="7" t="s">
        <v>148</v>
      </c>
      <c r="C51" s="31" t="n">
        <v>0.15</v>
      </c>
      <c r="D51" s="3" t="s">
        <v>85</v>
      </c>
      <c r="E51" s="27" t="s">
        <v>79</v>
      </c>
      <c r="F51" s="14" t="s">
        <v>149</v>
      </c>
    </row>
    <row r="52" customFormat="false" ht="15" hidden="false" customHeight="false" outlineLevel="0" collapsed="false">
      <c r="B52" s="7" t="s">
        <v>150</v>
      </c>
      <c r="C52" s="31" t="n">
        <v>0.25</v>
      </c>
      <c r="D52" s="3" t="s">
        <v>85</v>
      </c>
      <c r="E52" s="27" t="s">
        <v>79</v>
      </c>
      <c r="F52" s="14" t="s">
        <v>151</v>
      </c>
    </row>
    <row r="53" customFormat="false" ht="15" hidden="false" customHeight="false" outlineLevel="0" collapsed="false">
      <c r="B53" s="5" t="s">
        <v>152</v>
      </c>
      <c r="C53" s="6"/>
      <c r="D53" s="6"/>
      <c r="E53" s="6"/>
      <c r="F53" s="6"/>
    </row>
    <row r="54" customFormat="false" ht="15" hidden="false" customHeight="false" outlineLevel="0" collapsed="false">
      <c r="B54" s="7" t="s">
        <v>153</v>
      </c>
      <c r="C54" s="33" t="n">
        <v>18</v>
      </c>
      <c r="D54" s="3" t="s">
        <v>108</v>
      </c>
      <c r="E54" s="27" t="s">
        <v>79</v>
      </c>
      <c r="F54" s="14" t="s">
        <v>154</v>
      </c>
    </row>
    <row r="55" customFormat="false" ht="15" hidden="false" customHeight="false" outlineLevel="0" collapsed="false">
      <c r="B55" s="7" t="s">
        <v>155</v>
      </c>
      <c r="C55" s="31" t="n">
        <v>0.18</v>
      </c>
      <c r="D55" s="3" t="s">
        <v>85</v>
      </c>
      <c r="E55" s="27" t="s">
        <v>79</v>
      </c>
      <c r="F55" s="14" t="s">
        <v>156</v>
      </c>
    </row>
    <row r="56" customFormat="false" ht="15" hidden="false" customHeight="false" outlineLevel="0" collapsed="false">
      <c r="B56" s="7" t="s">
        <v>157</v>
      </c>
      <c r="C56" s="34" t="n">
        <v>5</v>
      </c>
      <c r="D56" s="3" t="s">
        <v>158</v>
      </c>
      <c r="E56" s="27" t="s">
        <v>79</v>
      </c>
      <c r="F56" s="14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3B6"/>
    <pageSetUpPr fitToPage="false"/>
  </sheetPr>
  <dimension ref="B2:J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7" min="3" style="0" width="11"/>
    <col collapsed="false" customWidth="true" hidden="false" outlineLevel="0" max="9" min="8" style="0" width="12"/>
    <col collapsed="false" customWidth="true" hidden="false" outlineLevel="0" max="10" min="10" style="0" width="50"/>
  </cols>
  <sheetData>
    <row r="2" customFormat="false" ht="19.7" hidden="false" customHeight="false" outlineLevel="0" collapsed="false">
      <c r="B2" s="20" t="s">
        <v>160</v>
      </c>
    </row>
    <row r="3" customFormat="false" ht="15" hidden="false" customHeight="false" outlineLevel="0" collapsed="false">
      <c r="B3" s="21" t="s">
        <v>161</v>
      </c>
    </row>
    <row r="5" customFormat="false" ht="15" hidden="false" customHeight="false" outlineLevel="0" collapsed="false">
      <c r="B5" s="22" t="s">
        <v>71</v>
      </c>
      <c r="C5" s="23" t="s">
        <v>162</v>
      </c>
      <c r="D5" s="23" t="s">
        <v>163</v>
      </c>
      <c r="E5" s="23" t="s">
        <v>164</v>
      </c>
      <c r="F5" s="23" t="s">
        <v>165</v>
      </c>
      <c r="G5" s="23" t="s">
        <v>166</v>
      </c>
      <c r="H5" s="23" t="s">
        <v>167</v>
      </c>
      <c r="I5" s="23" t="s">
        <v>168</v>
      </c>
      <c r="J5" s="23" t="s">
        <v>169</v>
      </c>
    </row>
    <row r="6" customFormat="false" ht="15" hidden="false" customHeight="false" outlineLevel="0" collapsed="false">
      <c r="B6" s="5" t="s">
        <v>170</v>
      </c>
      <c r="C6" s="6"/>
      <c r="D6" s="6"/>
      <c r="E6" s="6"/>
      <c r="F6" s="6"/>
      <c r="G6" s="6"/>
      <c r="H6" s="6"/>
      <c r="I6" s="6"/>
    </row>
    <row r="7" customFormat="false" ht="15" hidden="false" customHeight="false" outlineLevel="0" collapsed="false">
      <c r="B7" s="7" t="s">
        <v>171</v>
      </c>
      <c r="C7" s="26" t="n">
        <v>804.6</v>
      </c>
      <c r="D7" s="26" t="n">
        <v>776.7</v>
      </c>
      <c r="E7" s="26" t="n">
        <v>320</v>
      </c>
      <c r="F7" s="35" t="n">
        <f aca="false">D7-E7</f>
        <v>456.7</v>
      </c>
      <c r="G7" s="26" t="n">
        <v>386</v>
      </c>
      <c r="H7" s="35" t="n">
        <f aca="false">F7*(1+Sci_H2_G)</f>
        <v>474.968</v>
      </c>
      <c r="I7" s="35" t="n">
        <f aca="false">G7+H7</f>
        <v>860.968</v>
      </c>
    </row>
    <row r="8" customFormat="false" ht="15" hidden="false" customHeight="false" outlineLevel="0" collapsed="false">
      <c r="B8" s="7" t="s">
        <v>172</v>
      </c>
      <c r="C8" s="26" t="n">
        <v>171.9</v>
      </c>
      <c r="D8" s="26" t="n">
        <v>137.5</v>
      </c>
      <c r="E8" s="26" t="n">
        <v>33.4</v>
      </c>
      <c r="F8" s="35" t="n">
        <f aca="false">D8-E8</f>
        <v>104.1</v>
      </c>
      <c r="G8" s="26" t="n">
        <v>43</v>
      </c>
      <c r="H8" s="35" t="n">
        <f aca="false">H7*Sci_H2_M</f>
        <v>111.61748</v>
      </c>
      <c r="I8" s="35" t="n">
        <f aca="false">G8+H8</f>
        <v>154.61748</v>
      </c>
    </row>
    <row r="9" customFormat="false" ht="15" hidden="false" customHeight="false" outlineLevel="0" collapsed="false">
      <c r="B9" s="36" t="s">
        <v>173</v>
      </c>
      <c r="C9" s="37" t="n">
        <f aca="false">C8/C7</f>
        <v>0.213646532438479</v>
      </c>
      <c r="D9" s="37" t="n">
        <f aca="false">D8/D7</f>
        <v>0.177031028711214</v>
      </c>
      <c r="E9" s="37" t="n">
        <f aca="false">E8/E7</f>
        <v>0.104375</v>
      </c>
      <c r="F9" s="37" t="n">
        <f aca="false">F8/F7</f>
        <v>0.227939566455003</v>
      </c>
      <c r="G9" s="37" t="n">
        <f aca="false">G8/G7</f>
        <v>0.11139896373057</v>
      </c>
      <c r="H9" s="37" t="n">
        <f aca="false">H8/H7</f>
        <v>0.235</v>
      </c>
      <c r="I9" s="37" t="n">
        <f aca="false">I8/I7</f>
        <v>0.179585629198762</v>
      </c>
      <c r="J9" s="14" t="s">
        <v>174</v>
      </c>
    </row>
    <row r="10" customFormat="false" ht="15" hidden="false" customHeight="false" outlineLevel="0" collapsed="false">
      <c r="B10" s="5" t="s">
        <v>175</v>
      </c>
      <c r="C10" s="6"/>
      <c r="D10" s="6"/>
      <c r="E10" s="6"/>
      <c r="F10" s="6"/>
      <c r="G10" s="6"/>
      <c r="H10" s="6"/>
      <c r="I10" s="6"/>
    </row>
    <row r="11" customFormat="false" ht="15" hidden="false" customHeight="false" outlineLevel="0" collapsed="false">
      <c r="B11" s="7" t="s">
        <v>171</v>
      </c>
      <c r="C11" s="26" t="n">
        <v>542.8</v>
      </c>
      <c r="D11" s="26" t="n">
        <v>501.7</v>
      </c>
      <c r="E11" s="26" t="n">
        <v>249.4</v>
      </c>
      <c r="F11" s="35" t="n">
        <f aca="false">D11-E11</f>
        <v>252.3</v>
      </c>
      <c r="G11" s="26" t="n">
        <v>250.1</v>
      </c>
      <c r="H11" s="35" t="n">
        <f aca="false">F11*(1+Dyn_H2_G)</f>
        <v>249.777</v>
      </c>
      <c r="I11" s="35" t="n">
        <f aca="false">G11+H11</f>
        <v>499.877</v>
      </c>
    </row>
    <row r="12" customFormat="false" ht="15" hidden="false" customHeight="false" outlineLevel="0" collapsed="false">
      <c r="B12" s="7" t="s">
        <v>172</v>
      </c>
      <c r="C12" s="26" t="n">
        <v>93</v>
      </c>
      <c r="D12" s="26" t="n">
        <v>72.3</v>
      </c>
      <c r="E12" s="26" t="n">
        <v>30.6</v>
      </c>
      <c r="F12" s="35" t="n">
        <f aca="false">D12-E12</f>
        <v>41.7</v>
      </c>
      <c r="G12" s="26" t="n">
        <v>31.1</v>
      </c>
      <c r="H12" s="35" t="n">
        <f aca="false">H11*Dyn_H2_M</f>
        <v>43.710975</v>
      </c>
      <c r="I12" s="35" t="n">
        <f aca="false">G12+H12</f>
        <v>74.810975</v>
      </c>
    </row>
    <row r="13" customFormat="false" ht="15" hidden="false" customHeight="false" outlineLevel="0" collapsed="false">
      <c r="B13" s="36" t="s">
        <v>173</v>
      </c>
      <c r="C13" s="37" t="n">
        <f aca="false">C12/C11</f>
        <v>0.171333824613117</v>
      </c>
      <c r="D13" s="37" t="n">
        <f aca="false">D12/D11</f>
        <v>0.1441100259119</v>
      </c>
      <c r="E13" s="37" t="n">
        <f aca="false">E12/E11</f>
        <v>0.122694466720128</v>
      </c>
      <c r="F13" s="37" t="n">
        <f aca="false">F12/F11</f>
        <v>0.165279429250892</v>
      </c>
      <c r="G13" s="37" t="n">
        <f aca="false">G12/G11</f>
        <v>0.124350259896042</v>
      </c>
      <c r="H13" s="37" t="n">
        <f aca="false">H12/H11</f>
        <v>0.175</v>
      </c>
      <c r="I13" s="37" t="n">
        <f aca="false">I12/I11</f>
        <v>0.14965876605645</v>
      </c>
    </row>
    <row r="14" customFormat="false" ht="15" hidden="false" customHeight="false" outlineLevel="0" collapsed="false">
      <c r="B14" s="5" t="s">
        <v>176</v>
      </c>
      <c r="C14" s="6"/>
      <c r="D14" s="6"/>
      <c r="E14" s="6"/>
      <c r="F14" s="6"/>
      <c r="G14" s="6"/>
      <c r="H14" s="6"/>
      <c r="I14" s="6"/>
    </row>
    <row r="15" customFormat="false" ht="15" hidden="false" customHeight="false" outlineLevel="0" collapsed="false">
      <c r="B15" s="7" t="s">
        <v>177</v>
      </c>
      <c r="C15" s="26" t="n">
        <v>101.8</v>
      </c>
      <c r="D15" s="26" t="n">
        <v>20.3</v>
      </c>
      <c r="E15" s="26" t="n">
        <v>20.3</v>
      </c>
      <c r="F15" s="35" t="n">
        <f aca="false">D15-E15</f>
        <v>0</v>
      </c>
      <c r="G15" s="26" t="n">
        <v>0</v>
      </c>
      <c r="H15" s="26" t="n">
        <v>0</v>
      </c>
      <c r="I15" s="35" t="n">
        <f aca="false">G15+H15</f>
        <v>0</v>
      </c>
    </row>
    <row r="16" customFormat="false" ht="15" hidden="false" customHeight="false" outlineLevel="0" collapsed="false">
      <c r="B16" s="7" t="s">
        <v>178</v>
      </c>
      <c r="D16" s="26" t="n">
        <v>3.7</v>
      </c>
      <c r="E16" s="26" t="n">
        <v>3.7</v>
      </c>
      <c r="F16" s="35" t="n">
        <f aca="false">D16-E16</f>
        <v>0</v>
      </c>
      <c r="G16" s="26" t="n">
        <v>0</v>
      </c>
      <c r="H16" s="26" t="n">
        <v>0</v>
      </c>
      <c r="I16" s="35" t="n">
        <f aca="false">G16+H16</f>
        <v>0</v>
      </c>
    </row>
    <row r="17" customFormat="false" ht="15" hidden="false" customHeight="false" outlineLevel="0" collapsed="false">
      <c r="B17" s="7" t="s">
        <v>179</v>
      </c>
      <c r="D17" s="35" t="n">
        <f aca="false">D19-D8-D12-D16</f>
        <v>-10.9</v>
      </c>
      <c r="E17" s="35" t="n">
        <f aca="false">E19-E8-E12-E16</f>
        <v>-6.6</v>
      </c>
      <c r="F17" s="35" t="n">
        <f aca="false">D17-E17</f>
        <v>-4.3</v>
      </c>
      <c r="G17" s="35" t="n">
        <f aca="false">G19-G8-G12-G16</f>
        <v>-8.50000000000001</v>
      </c>
      <c r="H17" s="35" t="n">
        <f aca="false">-Costs_2025-G17</f>
        <v>-6.49999999999999</v>
      </c>
      <c r="I17" s="35" t="n">
        <f aca="false">G17+H17</f>
        <v>-15</v>
      </c>
      <c r="J17" s="14" t="s">
        <v>180</v>
      </c>
    </row>
    <row r="18" customFormat="false" ht="15" hidden="false" customHeight="false" outlineLevel="0" collapsed="false">
      <c r="B18" s="38" t="s">
        <v>181</v>
      </c>
      <c r="C18" s="39" t="n">
        <v>1449.2</v>
      </c>
      <c r="D18" s="40" t="n">
        <f aca="false">D7+D11+D15</f>
        <v>1298.7</v>
      </c>
      <c r="E18" s="40" t="n">
        <f aca="false">E7+E11+E15</f>
        <v>589.7</v>
      </c>
      <c r="F18" s="40" t="n">
        <f aca="false">F7+F11+F15</f>
        <v>709</v>
      </c>
      <c r="G18" s="40" t="n">
        <f aca="false">G7+G11+G15</f>
        <v>636.1</v>
      </c>
      <c r="H18" s="40" t="n">
        <f aca="false">H7+H11+H15</f>
        <v>724.745</v>
      </c>
      <c r="I18" s="40" t="n">
        <f aca="false">I7+I11+I15</f>
        <v>1360.845</v>
      </c>
      <c r="J18" s="14" t="s">
        <v>182</v>
      </c>
    </row>
    <row r="19" customFormat="false" ht="15" hidden="false" customHeight="false" outlineLevel="0" collapsed="false">
      <c r="B19" s="38" t="s">
        <v>172</v>
      </c>
      <c r="C19" s="39" t="n">
        <v>262.5</v>
      </c>
      <c r="D19" s="39" t="n">
        <v>202.6</v>
      </c>
      <c r="E19" s="39" t="n">
        <v>61.1</v>
      </c>
      <c r="F19" s="40" t="n">
        <f aca="false">D19-E19</f>
        <v>141.5</v>
      </c>
      <c r="G19" s="39" t="n">
        <v>65.6</v>
      </c>
      <c r="H19" s="40" t="n">
        <f aca="false">H8+H12+H16+H17</f>
        <v>148.828455</v>
      </c>
      <c r="I19" s="40" t="n">
        <f aca="false">G19+H19</f>
        <v>214.428455</v>
      </c>
    </row>
    <row r="20" customFormat="false" ht="15" hidden="false" customHeight="false" outlineLevel="0" collapsed="false">
      <c r="B20" s="36" t="s">
        <v>183</v>
      </c>
      <c r="C20" s="37" t="n">
        <f aca="false">C19/C18</f>
        <v>0.181134418989787</v>
      </c>
      <c r="D20" s="37" t="n">
        <f aca="false">D19/D18</f>
        <v>0.156002156002156</v>
      </c>
      <c r="E20" s="37" t="n">
        <f aca="false">E19/E18</f>
        <v>0.103612006104799</v>
      </c>
      <c r="F20" s="37" t="n">
        <f aca="false">F19/F18</f>
        <v>0.199576868829337</v>
      </c>
      <c r="G20" s="37" t="n">
        <f aca="false">G19/G18</f>
        <v>0.103128438924697</v>
      </c>
      <c r="H20" s="37" t="n">
        <f aca="false">H19/H18</f>
        <v>0.205352855142153</v>
      </c>
      <c r="I20" s="37" t="n">
        <f aca="false">I19/I18</f>
        <v>0.157570079619648</v>
      </c>
    </row>
    <row r="21" customFormat="false" ht="15" hidden="false" customHeight="false" outlineLevel="0" collapsed="false">
      <c r="B21" s="7" t="s">
        <v>184</v>
      </c>
      <c r="C21" s="26" t="n">
        <v>38.8</v>
      </c>
      <c r="D21" s="26" t="n">
        <v>36.1</v>
      </c>
      <c r="I21" s="35" t="n">
        <f aca="false">I18*DA_pct</f>
        <v>38.10366</v>
      </c>
    </row>
    <row r="22" customFormat="false" ht="15" hidden="false" customHeight="false" outlineLevel="0" collapsed="false">
      <c r="B22" s="38" t="s">
        <v>185</v>
      </c>
      <c r="C22" s="40" t="n">
        <f aca="false">C19+C21</f>
        <v>301.3</v>
      </c>
      <c r="D22" s="40" t="n">
        <f aca="false">D19+D21</f>
        <v>238.7</v>
      </c>
      <c r="I22" s="40" t="n">
        <f aca="false">I19+I21</f>
        <v>252.532115</v>
      </c>
      <c r="J22" s="14" t="s">
        <v>186</v>
      </c>
    </row>
    <row r="23" customFormat="false" ht="15" hidden="false" customHeight="false" outlineLevel="0" collapsed="false">
      <c r="B23" s="36" t="s">
        <v>187</v>
      </c>
      <c r="C23" s="37" t="n">
        <f aca="false">C22/C18</f>
        <v>0.207907811206183</v>
      </c>
      <c r="D23" s="37" t="n">
        <f aca="false">D22/D18</f>
        <v>0.183799183799184</v>
      </c>
      <c r="I23" s="37" t="n">
        <f aca="false">I22/I18</f>
        <v>0.185570079619648</v>
      </c>
    </row>
    <row r="25" customFormat="false" ht="15" hidden="false" customHeight="false" outlineLevel="0" collapsed="false">
      <c r="B25" s="5" t="s">
        <v>188</v>
      </c>
      <c r="C25" s="6"/>
      <c r="D25" s="6"/>
      <c r="E25" s="6"/>
      <c r="F25" s="6"/>
      <c r="G25" s="6"/>
      <c r="H25" s="6"/>
      <c r="I25" s="6"/>
    </row>
    <row r="26" customFormat="false" ht="15" hidden="false" customHeight="false" outlineLevel="0" collapsed="false">
      <c r="B26" s="7" t="s">
        <v>189</v>
      </c>
      <c r="C26" s="26" t="n">
        <v>24.7</v>
      </c>
      <c r="D26" s="26" t="n">
        <v>51.7</v>
      </c>
      <c r="G26" s="26" t="n">
        <v>21.1</v>
      </c>
    </row>
    <row r="27" customFormat="false" ht="15" hidden="false" customHeight="false" outlineLevel="0" collapsed="false">
      <c r="B27" s="7" t="s">
        <v>190</v>
      </c>
      <c r="C27" s="26" t="n">
        <v>-138.8</v>
      </c>
      <c r="D27" s="26" t="n">
        <v>549</v>
      </c>
      <c r="G27" s="26" t="n">
        <v>545.7</v>
      </c>
    </row>
    <row r="28" customFormat="false" ht="15" hidden="false" customHeight="false" outlineLevel="0" collapsed="false">
      <c r="B28" s="36" t="s">
        <v>191</v>
      </c>
      <c r="D28" s="41" t="n">
        <f aca="false">D27/D22</f>
        <v>2.29995810640972</v>
      </c>
      <c r="J28" s="14" t="s">
        <v>192</v>
      </c>
    </row>
    <row r="30" customFormat="false" ht="15" hidden="false" customHeight="false" outlineLevel="0" collapsed="false">
      <c r="B30" s="14" t="s">
        <v>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3B6"/>
    <pageSetUpPr fitToPage="false"/>
  </sheetPr>
  <dimension ref="B2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8" min="3" style="0" width="12"/>
  </cols>
  <sheetData>
    <row r="2" customFormat="false" ht="19.7" hidden="false" customHeight="false" outlineLevel="0" collapsed="false">
      <c r="B2" s="20" t="s">
        <v>194</v>
      </c>
    </row>
    <row r="3" customFormat="false" ht="15" hidden="false" customHeight="false" outlineLevel="0" collapsed="false">
      <c r="B3" s="21" t="s">
        <v>195</v>
      </c>
    </row>
    <row r="5" customFormat="false" ht="15" hidden="false" customHeight="false" outlineLevel="0" collapsed="false">
      <c r="B5" s="22" t="s">
        <v>71</v>
      </c>
      <c r="C5" s="23" t="s">
        <v>196</v>
      </c>
      <c r="D5" s="23" t="s">
        <v>197</v>
      </c>
      <c r="E5" s="23" t="s">
        <v>198</v>
      </c>
      <c r="F5" s="23" t="s">
        <v>199</v>
      </c>
      <c r="G5" s="23" t="s">
        <v>200</v>
      </c>
      <c r="H5" s="23" t="s">
        <v>201</v>
      </c>
    </row>
    <row r="6" customFormat="false" ht="15" hidden="false" customHeight="false" outlineLevel="0" collapsed="false">
      <c r="B6" s="14" t="s">
        <v>202</v>
      </c>
      <c r="C6" s="42" t="n">
        <v>0</v>
      </c>
      <c r="D6" s="42" t="n">
        <v>1</v>
      </c>
      <c r="E6" s="42" t="n">
        <v>2</v>
      </c>
      <c r="F6" s="42" t="n">
        <v>3</v>
      </c>
      <c r="G6" s="42" t="n">
        <v>4</v>
      </c>
      <c r="H6" s="42" t="n">
        <v>5</v>
      </c>
    </row>
    <row r="7" customFormat="false" ht="15" hidden="false" customHeight="false" outlineLevel="0" collapsed="false">
      <c r="B7" s="5" t="s">
        <v>170</v>
      </c>
      <c r="C7" s="6"/>
      <c r="D7" s="6"/>
      <c r="E7" s="6"/>
      <c r="F7" s="6"/>
      <c r="G7" s="6"/>
      <c r="H7" s="6"/>
    </row>
    <row r="8" customFormat="false" ht="15" hidden="false" customHeight="false" outlineLevel="0" collapsed="false">
      <c r="B8" s="7" t="s">
        <v>171</v>
      </c>
      <c r="C8" s="43" t="n">
        <f aca="false">Sci_Rev25</f>
        <v>860.968</v>
      </c>
      <c r="D8" s="35" t="n">
        <f aca="false">C8*(1+Sci_G)</f>
        <v>916.93092</v>
      </c>
      <c r="E8" s="35" t="n">
        <f aca="false">D8*(1+Sci_G)</f>
        <v>976.5314298</v>
      </c>
      <c r="F8" s="35" t="n">
        <f aca="false">E8*(1+Sci_G)</f>
        <v>1040.005972737</v>
      </c>
      <c r="G8" s="35" t="n">
        <f aca="false">F8*(1+Sci_G)</f>
        <v>1107.6063609649</v>
      </c>
      <c r="H8" s="35" t="n">
        <f aca="false">G8*(1+Sci_G)</f>
        <v>1179.60077442762</v>
      </c>
    </row>
    <row r="9" customFormat="false" ht="15" hidden="false" customHeight="false" outlineLevel="0" collapsed="false">
      <c r="B9" s="36" t="s">
        <v>203</v>
      </c>
      <c r="C9" s="37" t="n">
        <f aca="false">C8/Historicals!D7-1</f>
        <v>0.108494914381357</v>
      </c>
      <c r="D9" s="37" t="n">
        <f aca="false">D8/C8-1</f>
        <v>0.065</v>
      </c>
      <c r="E9" s="37" t="n">
        <f aca="false">E8/D8-1</f>
        <v>0.065</v>
      </c>
      <c r="F9" s="37" t="n">
        <f aca="false">F8/E8-1</f>
        <v>0.065</v>
      </c>
      <c r="G9" s="37" t="n">
        <f aca="false">G8/F8-1</f>
        <v>0.065</v>
      </c>
      <c r="H9" s="37" t="n">
        <f aca="false">H8/G8-1</f>
        <v>0.065</v>
      </c>
    </row>
    <row r="10" customFormat="false" ht="15" hidden="false" customHeight="false" outlineLevel="0" collapsed="false">
      <c r="B10" s="36" t="s">
        <v>183</v>
      </c>
      <c r="C10" s="44" t="n">
        <f aca="false">Sci_M25</f>
        <v>0.179585629198762</v>
      </c>
      <c r="D10" s="37" t="n">
        <f aca="false">$C10+(Sci_M_Exit-$C10)*D$6/Hold</f>
        <v>0.18966850335901</v>
      </c>
      <c r="E10" s="37" t="n">
        <f aca="false">$C10+(Sci_M_Exit-$C10)*E$6/Hold</f>
        <v>0.199751377519257</v>
      </c>
      <c r="F10" s="37" t="n">
        <f aca="false">$C10+(Sci_M_Exit-$C10)*F$6/Hold</f>
        <v>0.209834251679505</v>
      </c>
      <c r="G10" s="37" t="n">
        <f aca="false">$C10+(Sci_M_Exit-$C10)*G$6/Hold</f>
        <v>0.219917125839752</v>
      </c>
      <c r="H10" s="37" t="n">
        <f aca="false">$C10+(Sci_M_Exit-$C10)*H$6/Hold</f>
        <v>0.23</v>
      </c>
    </row>
    <row r="11" customFormat="false" ht="15" hidden="false" customHeight="false" outlineLevel="0" collapsed="false">
      <c r="B11" s="7" t="s">
        <v>172</v>
      </c>
      <c r="C11" s="35" t="n">
        <f aca="false">C8*C10</f>
        <v>154.61748</v>
      </c>
      <c r="D11" s="35" t="n">
        <f aca="false">D8*D10</f>
        <v>173.91291528</v>
      </c>
      <c r="E11" s="35" t="n">
        <f aca="false">E8*E10</f>
        <v>195.0634982934</v>
      </c>
      <c r="F11" s="35" t="n">
        <f aca="false">F8*F10</f>
        <v>218.228875031484</v>
      </c>
      <c r="G11" s="35" t="n">
        <f aca="false">G8*G10</f>
        <v>243.581607465229</v>
      </c>
      <c r="H11" s="35" t="n">
        <f aca="false">H8*H10</f>
        <v>271.308178118353</v>
      </c>
    </row>
    <row r="12" customFormat="false" ht="15" hidden="false" customHeight="false" outlineLevel="0" collapsed="false">
      <c r="B12" s="5" t="s">
        <v>175</v>
      </c>
      <c r="C12" s="6"/>
      <c r="D12" s="6"/>
      <c r="E12" s="6"/>
      <c r="F12" s="6"/>
      <c r="G12" s="6"/>
      <c r="H12" s="6"/>
    </row>
    <row r="13" customFormat="false" ht="15" hidden="false" customHeight="false" outlineLevel="0" collapsed="false">
      <c r="B13" s="7" t="s">
        <v>171</v>
      </c>
      <c r="C13" s="43" t="n">
        <f aca="false">Dyn_Rev25</f>
        <v>499.877</v>
      </c>
      <c r="D13" s="35" t="n">
        <f aca="false">C13*(1+Dyn_G)</f>
        <v>522.371465</v>
      </c>
      <c r="E13" s="35" t="n">
        <f aca="false">D13*(1+Dyn_G)</f>
        <v>545.878180925</v>
      </c>
      <c r="F13" s="35" t="n">
        <f aca="false">E13*(1+Dyn_G)</f>
        <v>570.442699066625</v>
      </c>
      <c r="G13" s="35" t="n">
        <f aca="false">F13*(1+Dyn_G)</f>
        <v>596.112620524623</v>
      </c>
      <c r="H13" s="35" t="n">
        <f aca="false">G13*(1+Dyn_G)</f>
        <v>622.937688448231</v>
      </c>
    </row>
    <row r="14" customFormat="false" ht="15" hidden="false" customHeight="false" outlineLevel="0" collapsed="false">
      <c r="B14" s="36" t="s">
        <v>203</v>
      </c>
      <c r="C14" s="37" t="n">
        <f aca="false">C13/Historicals!D11-1</f>
        <v>-0.00363364560494328</v>
      </c>
      <c r="D14" s="37" t="n">
        <f aca="false">D13/C13-1</f>
        <v>0.0449999999999999</v>
      </c>
      <c r="E14" s="37" t="n">
        <f aca="false">E13/D13-1</f>
        <v>0.0449999999999999</v>
      </c>
      <c r="F14" s="37" t="n">
        <f aca="false">F13/E13-1</f>
        <v>0.0449999999999999</v>
      </c>
      <c r="G14" s="37" t="n">
        <f aca="false">G13/F13-1</f>
        <v>0.0449999999999999</v>
      </c>
      <c r="H14" s="37" t="n">
        <f aca="false">H13/G13-1</f>
        <v>0.0449999999999999</v>
      </c>
    </row>
    <row r="15" customFormat="false" ht="15" hidden="false" customHeight="false" outlineLevel="0" collapsed="false">
      <c r="B15" s="36" t="s">
        <v>183</v>
      </c>
      <c r="C15" s="44" t="n">
        <f aca="false">Dyn_M25</f>
        <v>0.14965876605645</v>
      </c>
      <c r="D15" s="37" t="n">
        <f aca="false">$C15+(Dyn_M_Exit-$C15)*D$6/Hold</f>
        <v>0.15772701284516</v>
      </c>
      <c r="E15" s="37" t="n">
        <f aca="false">$C15+(Dyn_M_Exit-$C15)*E$6/Hold</f>
        <v>0.16579525963387</v>
      </c>
      <c r="F15" s="37" t="n">
        <f aca="false">$C15+(Dyn_M_Exit-$C15)*F$6/Hold</f>
        <v>0.17386350642258</v>
      </c>
      <c r="G15" s="37" t="n">
        <f aca="false">$C15+(Dyn_M_Exit-$C15)*G$6/Hold</f>
        <v>0.18193175321129</v>
      </c>
      <c r="H15" s="37" t="n">
        <f aca="false">$C15+(Dyn_M_Exit-$C15)*H$6/Hold</f>
        <v>0.19</v>
      </c>
    </row>
    <row r="16" customFormat="false" ht="15" hidden="false" customHeight="false" outlineLevel="0" collapsed="false">
      <c r="B16" s="7" t="s">
        <v>172</v>
      </c>
      <c r="C16" s="35" t="n">
        <f aca="false">C13*C15</f>
        <v>74.810975</v>
      </c>
      <c r="D16" s="35" t="n">
        <f aca="false">D13*D15</f>
        <v>82.39209077</v>
      </c>
      <c r="E16" s="35" t="n">
        <f aca="false">E13*E15</f>
        <v>90.504014734925</v>
      </c>
      <c r="F16" s="35" t="n">
        <f aca="false">F13*F15</f>
        <v>99.179167872884</v>
      </c>
      <c r="G16" s="35" t="n">
        <f aca="false">G13*G15</f>
        <v>108.451814163421</v>
      </c>
      <c r="H16" s="35" t="n">
        <f aca="false">H13*H15</f>
        <v>118.358160805164</v>
      </c>
    </row>
    <row r="17" customFormat="false" ht="15" hidden="false" customHeight="false" outlineLevel="0" collapsed="false">
      <c r="B17" s="5" t="s">
        <v>176</v>
      </c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B18" s="38" t="s">
        <v>181</v>
      </c>
      <c r="C18" s="40" t="n">
        <f aca="false">C8+C13</f>
        <v>1360.845</v>
      </c>
      <c r="D18" s="40" t="n">
        <f aca="false">D8+D13</f>
        <v>1439.302385</v>
      </c>
      <c r="E18" s="40" t="n">
        <f aca="false">E8+E13</f>
        <v>1522.409610725</v>
      </c>
      <c r="F18" s="40" t="n">
        <f aca="false">F8+F13</f>
        <v>1610.44867180362</v>
      </c>
      <c r="G18" s="40" t="n">
        <f aca="false">G8+G13</f>
        <v>1703.71898148953</v>
      </c>
      <c r="H18" s="40" t="n">
        <f aca="false">H8+H13</f>
        <v>1802.53846287585</v>
      </c>
    </row>
    <row r="19" customFormat="false" ht="15" hidden="false" customHeight="false" outlineLevel="0" collapsed="false">
      <c r="B19" s="36" t="s">
        <v>203</v>
      </c>
      <c r="C19" s="37" t="n">
        <f aca="false">C18/Historicals!D18-1</f>
        <v>0.0478516978516979</v>
      </c>
      <c r="D19" s="37" t="n">
        <f aca="false">D18/C18-1</f>
        <v>0.0576534322424669</v>
      </c>
      <c r="E19" s="37" t="n">
        <f aca="false">E18/D18-1</f>
        <v>0.0577413242631428</v>
      </c>
      <c r="F19" s="37" t="n">
        <f aca="false">F18/E18-1</f>
        <v>0.0578287607082952</v>
      </c>
      <c r="G19" s="37" t="n">
        <f aca="false">G18/F18-1</f>
        <v>0.05791572952241</v>
      </c>
      <c r="H19" s="37" t="n">
        <f aca="false">H18/G18-1</f>
        <v>0.0580022189457152</v>
      </c>
    </row>
    <row r="20" customFormat="false" ht="15" hidden="false" customHeight="false" outlineLevel="0" collapsed="false">
      <c r="B20" s="7" t="s">
        <v>179</v>
      </c>
      <c r="C20" s="35" t="n">
        <f aca="false">-Costs_2025</f>
        <v>-15</v>
      </c>
      <c r="D20" s="35" t="n">
        <f aca="false">C20*(1+Costs_G)</f>
        <v>-15.45</v>
      </c>
      <c r="E20" s="35" t="n">
        <f aca="false">D20*(1+Costs_G)</f>
        <v>-15.9135</v>
      </c>
      <c r="F20" s="35" t="n">
        <f aca="false">E20*(1+Costs_G)</f>
        <v>-16.390905</v>
      </c>
      <c r="G20" s="35" t="n">
        <f aca="false">F20*(1+Costs_G)</f>
        <v>-16.88263215</v>
      </c>
      <c r="H20" s="35" t="n">
        <f aca="false">G20*(1+Costs_G)</f>
        <v>-17.3891111145</v>
      </c>
    </row>
    <row r="21" customFormat="false" ht="15" hidden="false" customHeight="false" outlineLevel="0" collapsed="false">
      <c r="B21" s="38" t="s">
        <v>204</v>
      </c>
      <c r="C21" s="40" t="n">
        <f aca="false">C11+C16+C20</f>
        <v>214.428455</v>
      </c>
      <c r="D21" s="40" t="n">
        <f aca="false">D11+D16+D20</f>
        <v>240.85500605</v>
      </c>
      <c r="E21" s="40" t="n">
        <f aca="false">E11+E16+E20</f>
        <v>269.654013028325</v>
      </c>
      <c r="F21" s="40" t="n">
        <f aca="false">F11+F16+F20</f>
        <v>301.017137904368</v>
      </c>
      <c r="G21" s="40" t="n">
        <f aca="false">G11+G16+G20</f>
        <v>335.15078947865</v>
      </c>
      <c r="H21" s="40" t="n">
        <f aca="false">H11+H16+H20</f>
        <v>372.277227809017</v>
      </c>
    </row>
    <row r="22" customFormat="false" ht="15" hidden="false" customHeight="false" outlineLevel="0" collapsed="false">
      <c r="B22" s="36" t="s">
        <v>183</v>
      </c>
      <c r="C22" s="37" t="n">
        <f aca="false">C21/C18</f>
        <v>0.157570079619648</v>
      </c>
      <c r="D22" s="37" t="n">
        <f aca="false">D21/D18</f>
        <v>0.167341490266481</v>
      </c>
      <c r="E22" s="37" t="n">
        <f aca="false">E21/E18</f>
        <v>0.177123167857506</v>
      </c>
      <c r="F22" s="37" t="n">
        <f aca="false">F21/F18</f>
        <v>0.186915077254367</v>
      </c>
      <c r="G22" s="37" t="n">
        <f aca="false">G21/G18</f>
        <v>0.196717177609675</v>
      </c>
      <c r="H22" s="37" t="n">
        <f aca="false">H21/H18</f>
        <v>0.206529422520654</v>
      </c>
    </row>
    <row r="23" customFormat="false" ht="15" hidden="false" customHeight="false" outlineLevel="0" collapsed="false">
      <c r="B23" s="7" t="s">
        <v>205</v>
      </c>
      <c r="C23" s="35" t="n">
        <f aca="false">C18*DA_pct</f>
        <v>38.10366</v>
      </c>
      <c r="D23" s="35" t="n">
        <f aca="false">D18*DA_pct</f>
        <v>40.30046678</v>
      </c>
      <c r="E23" s="35" t="n">
        <f aca="false">E18*DA_pct</f>
        <v>42.6274691003</v>
      </c>
      <c r="F23" s="35" t="n">
        <f aca="false">F18*DA_pct</f>
        <v>45.0925628105015</v>
      </c>
      <c r="G23" s="35" t="n">
        <f aca="false">G18*DA_pct</f>
        <v>47.7041314817068</v>
      </c>
      <c r="H23" s="35" t="n">
        <f aca="false">H18*DA_pct</f>
        <v>50.4710769605239</v>
      </c>
    </row>
    <row r="24" customFormat="false" ht="15" hidden="false" customHeight="false" outlineLevel="0" collapsed="false">
      <c r="B24" s="45" t="s">
        <v>185</v>
      </c>
      <c r="C24" s="46" t="n">
        <f aca="false">C21+C23</f>
        <v>252.532115</v>
      </c>
      <c r="D24" s="46" t="n">
        <f aca="false">D21+D23</f>
        <v>281.15547283</v>
      </c>
      <c r="E24" s="46" t="n">
        <f aca="false">E21+E23</f>
        <v>312.281482128625</v>
      </c>
      <c r="F24" s="46" t="n">
        <f aca="false">F21+F23</f>
        <v>346.109700714869</v>
      </c>
      <c r="G24" s="46" t="n">
        <f aca="false">G21+G23</f>
        <v>382.854920960357</v>
      </c>
      <c r="H24" s="46" t="n">
        <f aca="false">H21+H23</f>
        <v>422.748304769541</v>
      </c>
    </row>
    <row r="25" customFormat="false" ht="15" hidden="false" customHeight="false" outlineLevel="0" collapsed="false">
      <c r="B25" s="36" t="s">
        <v>187</v>
      </c>
      <c r="C25" s="37" t="n">
        <f aca="false">C24/C18</f>
        <v>0.185570079619648</v>
      </c>
      <c r="D25" s="37" t="n">
        <f aca="false">D24/D18</f>
        <v>0.195341490266481</v>
      </c>
      <c r="E25" s="37" t="n">
        <f aca="false">E24/E18</f>
        <v>0.205123167857506</v>
      </c>
      <c r="F25" s="37" t="n">
        <f aca="false">F24/F18</f>
        <v>0.214915077254367</v>
      </c>
      <c r="G25" s="37" t="n">
        <f aca="false">G24/G18</f>
        <v>0.224717177609675</v>
      </c>
      <c r="H25" s="37" t="n">
        <f aca="false">H24/H18</f>
        <v>0.234529422520654</v>
      </c>
    </row>
    <row r="26" customFormat="false" ht="15" hidden="false" customHeight="false" outlineLevel="0" collapsed="false">
      <c r="B26" s="5" t="s">
        <v>206</v>
      </c>
      <c r="C26" s="6"/>
      <c r="D26" s="6"/>
      <c r="E26" s="6"/>
      <c r="F26" s="6"/>
      <c r="G26" s="6"/>
      <c r="H26" s="6"/>
    </row>
    <row r="27" customFormat="false" ht="15" hidden="false" customHeight="false" outlineLevel="0" collapsed="false">
      <c r="B27" s="7" t="s">
        <v>185</v>
      </c>
      <c r="D27" s="35" t="n">
        <f aca="false">D24</f>
        <v>281.15547283</v>
      </c>
      <c r="E27" s="35" t="n">
        <f aca="false">E24</f>
        <v>312.281482128625</v>
      </c>
      <c r="F27" s="35" t="n">
        <f aca="false">F24</f>
        <v>346.109700714869</v>
      </c>
      <c r="G27" s="35" t="n">
        <f aca="false">G24</f>
        <v>382.854920960357</v>
      </c>
      <c r="H27" s="35" t="n">
        <f aca="false">H24</f>
        <v>422.748304769541</v>
      </c>
    </row>
    <row r="28" customFormat="false" ht="15" hidden="false" customHeight="false" outlineLevel="0" collapsed="false">
      <c r="B28" s="7" t="s">
        <v>207</v>
      </c>
      <c r="D28" s="35" t="n">
        <f aca="false">-D18*Capex_pct</f>
        <v>-43.17907155</v>
      </c>
      <c r="E28" s="35" t="n">
        <f aca="false">-E18*Capex_pct</f>
        <v>-45.67228832175</v>
      </c>
      <c r="F28" s="35" t="n">
        <f aca="false">-F18*Capex_pct</f>
        <v>-48.3134601541087</v>
      </c>
      <c r="G28" s="35" t="n">
        <f aca="false">-G18*Capex_pct</f>
        <v>-51.1115694446858</v>
      </c>
      <c r="H28" s="35" t="n">
        <f aca="false">-H18*Capex_pct</f>
        <v>-54.0761538862756</v>
      </c>
    </row>
    <row r="29" customFormat="false" ht="15" hidden="false" customHeight="false" outlineLevel="0" collapsed="false">
      <c r="B29" s="7" t="s">
        <v>208</v>
      </c>
      <c r="D29" s="35" t="n">
        <f aca="false">-(D18-C18)*NWC_pct</f>
        <v>-11.76860775</v>
      </c>
      <c r="E29" s="35" t="n">
        <f aca="false">-(E18-D18)*NWC_pct</f>
        <v>-12.46608385875</v>
      </c>
      <c r="F29" s="35" t="n">
        <f aca="false">-(F18-E18)*NWC_pct</f>
        <v>-13.2058591617937</v>
      </c>
      <c r="G29" s="35" t="n">
        <f aca="false">-(G18-F18)*NWC_pct</f>
        <v>-13.9905464528855</v>
      </c>
      <c r="H29" s="35" t="n">
        <f aca="false">-(H18-G18)*NWC_pct</f>
        <v>-14.822922207949</v>
      </c>
    </row>
    <row r="30" customFormat="false" ht="15" hidden="false" customHeight="false" outlineLevel="0" collapsed="false">
      <c r="B30" s="7" t="s">
        <v>209</v>
      </c>
      <c r="D30" s="43" t="n">
        <f aca="false">-'Debt Schedule'!D30</f>
        <v>-98.140046641791</v>
      </c>
      <c r="E30" s="43" t="n">
        <f aca="false">-'Debt Schedule'!E30</f>
        <v>-94.882130345085</v>
      </c>
      <c r="F30" s="43" t="n">
        <f aca="false">-'Debt Schedule'!F30</f>
        <v>-90.8785745936393</v>
      </c>
      <c r="G30" s="43" t="n">
        <f aca="false">-'Debt Schedule'!G30</f>
        <v>-86.0521574114042</v>
      </c>
      <c r="H30" s="43" t="n">
        <f aca="false">-'Debt Schedule'!H30</f>
        <v>-80.3191953337904</v>
      </c>
    </row>
    <row r="31" customFormat="false" ht="15" hidden="false" customHeight="false" outlineLevel="0" collapsed="false">
      <c r="B31" s="7" t="s">
        <v>210</v>
      </c>
      <c r="D31" s="35" t="n">
        <f aca="false">-MAX(0,(D21+D30)*Tax)</f>
        <v>-35.6787398520522</v>
      </c>
      <c r="E31" s="35" t="n">
        <f aca="false">-MAX(0,(E21+E30)*Tax)</f>
        <v>-43.69297067081</v>
      </c>
      <c r="F31" s="35" t="n">
        <f aca="false">-MAX(0,(F21+F30)*Tax)</f>
        <v>-52.5346408276822</v>
      </c>
      <c r="G31" s="35" t="n">
        <f aca="false">-MAX(0,(G21+G30)*Tax)</f>
        <v>-62.2746580168115</v>
      </c>
      <c r="H31" s="35" t="n">
        <f aca="false">-MAX(0,(H21+H30)*Tax)</f>
        <v>-72.9895081188067</v>
      </c>
    </row>
    <row r="32" customFormat="false" ht="15" hidden="false" customHeight="false" outlineLevel="0" collapsed="false">
      <c r="B32" s="45" t="s">
        <v>211</v>
      </c>
      <c r="C32" s="47"/>
      <c r="D32" s="46" t="n">
        <f aca="false">SUM(D27:D31)</f>
        <v>92.3890070361568</v>
      </c>
      <c r="E32" s="46" t="n">
        <f aca="false">SUM(E27:E31)</f>
        <v>115.56800893223</v>
      </c>
      <c r="F32" s="46" t="n">
        <f aca="false">SUM(F27:F31)</f>
        <v>141.177165977646</v>
      </c>
      <c r="G32" s="46" t="n">
        <f aca="false">SUM(G27:G31)</f>
        <v>169.42598963457</v>
      </c>
      <c r="H32" s="46" t="n">
        <f aca="false">SUM(H27:H31)</f>
        <v>200.54052522272</v>
      </c>
    </row>
    <row r="33" customFormat="false" ht="15" hidden="false" customHeight="false" outlineLevel="0" collapsed="false">
      <c r="B33" s="36" t="s">
        <v>212</v>
      </c>
      <c r="D33" s="37" t="n">
        <f aca="false">D32/D24</f>
        <v>0.328604690160236</v>
      </c>
      <c r="E33" s="37" t="n">
        <f aca="false">E32/E24</f>
        <v>0.370076407171108</v>
      </c>
      <c r="F33" s="37" t="n">
        <f aca="false">F32/F24</f>
        <v>0.407897165800474</v>
      </c>
      <c r="G33" s="37" t="n">
        <f aca="false">G32/G24</f>
        <v>0.442533138165183</v>
      </c>
      <c r="H33" s="37" t="n">
        <f aca="false">H32/H24</f>
        <v>0.474373339786763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3B6"/>
    <pageSetUpPr fitToPage="false"/>
  </sheetPr>
  <dimension ref="B2:F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4"/>
    <col collapsed="false" customWidth="true" hidden="false" outlineLevel="0" max="6" min="6" style="0" width="74"/>
  </cols>
  <sheetData>
    <row r="2" customFormat="false" ht="19.7" hidden="false" customHeight="false" outlineLevel="0" collapsed="false">
      <c r="B2" s="20" t="s">
        <v>213</v>
      </c>
    </row>
    <row r="3" customFormat="false" ht="15" hidden="false" customHeight="false" outlineLevel="0" collapsed="false">
      <c r="B3" s="21" t="s">
        <v>214</v>
      </c>
    </row>
    <row r="5" customFormat="false" ht="15" hidden="false" customHeight="false" outlineLevel="0" collapsed="false">
      <c r="B5" s="22" t="s">
        <v>215</v>
      </c>
      <c r="C5" s="23" t="s">
        <v>71</v>
      </c>
      <c r="D5" s="23" t="s">
        <v>216</v>
      </c>
    </row>
    <row r="6" customFormat="false" ht="15" hidden="false" customHeight="false" outlineLevel="0" collapsed="false">
      <c r="B6" s="7" t="s">
        <v>217</v>
      </c>
      <c r="C6" s="35" t="n">
        <f aca="false">(Price-Dividend)*Shares</f>
        <v>4171.882</v>
      </c>
      <c r="D6" s="37" t="n">
        <f aca="false">C6/$C$12</f>
        <v>0.841667913360145</v>
      </c>
    </row>
    <row r="7" customFormat="false" ht="15" hidden="false" customHeight="false" outlineLevel="0" collapsed="false">
      <c r="B7" s="7" t="s">
        <v>218</v>
      </c>
      <c r="C7" s="43" t="n">
        <f aca="false">Gross_Debt</f>
        <v>633.1</v>
      </c>
      <c r="D7" s="37" t="n">
        <f aca="false">C7/$C$12</f>
        <v>0.127726516701169</v>
      </c>
    </row>
    <row r="8" customFormat="false" ht="15" hidden="false" customHeight="false" outlineLevel="0" collapsed="false">
      <c r="B8" s="7" t="s">
        <v>219</v>
      </c>
      <c r="C8" s="35" t="n">
        <f aca="false">C13*(Fee_EUR+OID)+C14*(Fee_USD+OID)+RCF*Fee_RCF</f>
        <v>50.8427332089552</v>
      </c>
      <c r="D8" s="37" t="n">
        <f aca="false">C8/$C$12</f>
        <v>0.0102574083278261</v>
      </c>
    </row>
    <row r="9" customFormat="false" ht="15" hidden="false" customHeight="false" outlineLevel="0" collapsed="false">
      <c r="B9" s="7" t="s">
        <v>220</v>
      </c>
      <c r="C9" s="35" t="n">
        <f aca="false">C6*Stamp</f>
        <v>20.85941</v>
      </c>
      <c r="D9" s="37" t="n">
        <f aca="false">C9/$C$12</f>
        <v>0.00420833956680073</v>
      </c>
    </row>
    <row r="10" customFormat="false" ht="15" hidden="false" customHeight="false" outlineLevel="0" collapsed="false">
      <c r="B10" s="7" t="s">
        <v>221</v>
      </c>
      <c r="C10" s="43" t="n">
        <f aca="false">Advisory</f>
        <v>45</v>
      </c>
      <c r="D10" s="37" t="n">
        <f aca="false">C10/$C$12</f>
        <v>0.00907864989978301</v>
      </c>
    </row>
    <row r="11" customFormat="false" ht="15" hidden="false" customHeight="false" outlineLevel="0" collapsed="false">
      <c r="B11" s="7" t="s">
        <v>97</v>
      </c>
      <c r="C11" s="43" t="n">
        <f aca="false">Target_Costs</f>
        <v>35</v>
      </c>
      <c r="D11" s="37" t="n">
        <f aca="false">C11/$C$12</f>
        <v>0.00706117214427567</v>
      </c>
    </row>
    <row r="12" customFormat="false" ht="15" hidden="false" customHeight="false" outlineLevel="0" collapsed="false">
      <c r="B12" s="45" t="s">
        <v>222</v>
      </c>
      <c r="C12" s="46" t="n">
        <f aca="false">SUM(C6:C11)</f>
        <v>4956.68414320896</v>
      </c>
      <c r="D12" s="48" t="n">
        <f aca="false">C12/$C$12</f>
        <v>1</v>
      </c>
    </row>
    <row r="13" customFormat="false" ht="15" hidden="false" customHeight="false" outlineLevel="0" collapsed="false">
      <c r="B13" s="7" t="s">
        <v>223</v>
      </c>
      <c r="C13" s="35" t="n">
        <f aca="false">EUR_TL*EURGBP</f>
        <v>848.25</v>
      </c>
      <c r="D13" s="37" t="n">
        <f aca="false">C13/$C$17</f>
        <v>0.17113255061091</v>
      </c>
      <c r="F13" s="14" t="s">
        <v>224</v>
      </c>
    </row>
    <row r="14" customFormat="false" ht="15" hidden="false" customHeight="false" outlineLevel="0" collapsed="false">
      <c r="B14" s="7" t="s">
        <v>225</v>
      </c>
      <c r="C14" s="35" t="n">
        <f aca="false">USD_TL/GBPUSD</f>
        <v>671.641791044776</v>
      </c>
      <c r="D14" s="37" t="n">
        <f aca="false">C14/$C$17</f>
        <v>0.135502237310194</v>
      </c>
    </row>
    <row r="15" customFormat="false" ht="15" hidden="false" customHeight="false" outlineLevel="0" collapsed="false">
      <c r="B15" s="7" t="s">
        <v>226</v>
      </c>
      <c r="C15" s="26" t="n">
        <v>0</v>
      </c>
      <c r="D15" s="37" t="n">
        <f aca="false">C15/$C$17</f>
        <v>0</v>
      </c>
    </row>
    <row r="16" customFormat="false" ht="15" hidden="false" customHeight="false" outlineLevel="0" collapsed="false">
      <c r="B16" s="38" t="s">
        <v>227</v>
      </c>
      <c r="C16" s="40" t="n">
        <f aca="false">C12-SUM(C13:C15)</f>
        <v>3436.79235216418</v>
      </c>
      <c r="D16" s="37" t="n">
        <f aca="false">C16/$C$17</f>
        <v>0.693365212078896</v>
      </c>
    </row>
    <row r="17" customFormat="false" ht="15" hidden="false" customHeight="false" outlineLevel="0" collapsed="false">
      <c r="B17" s="45" t="s">
        <v>228</v>
      </c>
      <c r="C17" s="46" t="n">
        <f aca="false">SUM(C13:C16)</f>
        <v>4956.68414320896</v>
      </c>
      <c r="D17" s="48" t="n">
        <f aca="false">C17/$C$17</f>
        <v>1</v>
      </c>
    </row>
    <row r="18" customFormat="false" ht="15" hidden="false" customHeight="false" outlineLevel="0" collapsed="false">
      <c r="B18" s="36" t="s">
        <v>229</v>
      </c>
      <c r="C18" s="49" t="n">
        <f aca="false">C17-C12</f>
        <v>0</v>
      </c>
    </row>
    <row r="20" customFormat="false" ht="15" hidden="false" customHeight="false" outlineLevel="0" collapsed="false">
      <c r="B20" s="5" t="s">
        <v>230</v>
      </c>
      <c r="C20" s="6"/>
      <c r="D20" s="6"/>
    </row>
    <row r="21" customFormat="false" ht="15" hidden="false" customHeight="false" outlineLevel="0" collapsed="false">
      <c r="B21" s="7" t="s">
        <v>231</v>
      </c>
      <c r="C21" s="35" t="n">
        <f aca="false">Price*Shares</f>
        <v>4200.05</v>
      </c>
    </row>
    <row r="22" customFormat="false" ht="15" hidden="false" customHeight="false" outlineLevel="0" collapsed="false">
      <c r="B22" s="7" t="s">
        <v>232</v>
      </c>
      <c r="C22" s="35" t="n">
        <f aca="false">C21+NetDebt_H1+Leases</f>
        <v>4822.25</v>
      </c>
    </row>
    <row r="23" customFormat="false" ht="15" hidden="false" customHeight="false" outlineLevel="0" collapsed="false">
      <c r="B23" s="7" t="s">
        <v>233</v>
      </c>
      <c r="C23" s="50" t="n">
        <f aca="false">C22/EBITDA_FY24</f>
        <v>20.1767782426778</v>
      </c>
    </row>
    <row r="24" customFormat="false" ht="15" hidden="false" customHeight="false" outlineLevel="0" collapsed="false">
      <c r="B24" s="7" t="s">
        <v>7</v>
      </c>
      <c r="C24" s="50" t="n">
        <f aca="false">C22/EBITDA_25</f>
        <v>19.0955910696744</v>
      </c>
    </row>
    <row r="25" customFormat="false" ht="15" hidden="false" customHeight="false" outlineLevel="0" collapsed="false">
      <c r="B25" s="7" t="s">
        <v>8</v>
      </c>
      <c r="C25" s="50" t="n">
        <f aca="false">SUM(Debt0)/EBITDA_FY24</f>
        <v>6.35937987884844</v>
      </c>
    </row>
    <row r="26" customFormat="false" ht="15" hidden="false" customHeight="false" outlineLevel="0" collapsed="false">
      <c r="B26" s="7" t="s">
        <v>234</v>
      </c>
      <c r="C26" s="50" t="n">
        <f aca="false">SUM(Debt0)/EBITDA_25</f>
        <v>6.01860793445925</v>
      </c>
    </row>
    <row r="27" customFormat="false" ht="15" hidden="false" customHeight="false" outlineLevel="0" collapsed="false">
      <c r="B27" s="7" t="s">
        <v>235</v>
      </c>
      <c r="C27" s="35" t="n">
        <f aca="false">SUM(Debt0)-Cash_Close</f>
        <v>1460.69179104478</v>
      </c>
    </row>
    <row r="28" customFormat="false" ht="15" hidden="false" customHeight="false" outlineLevel="0" collapsed="false">
      <c r="B28" s="7" t="s">
        <v>236</v>
      </c>
      <c r="C28" s="51" t="n">
        <f aca="false">C16/(C16+SUM(Debt0))</f>
        <v>0.693365212078896</v>
      </c>
    </row>
    <row r="29" customFormat="false" ht="15" hidden="false" customHeight="false" outlineLevel="0" collapsed="false">
      <c r="B29" s="7" t="s">
        <v>237</v>
      </c>
      <c r="C29" s="51" t="n">
        <f aca="false">Price/Undisturbed-1</f>
        <v>1.04857703631011</v>
      </c>
    </row>
    <row r="30" customFormat="false" ht="15" hidden="false" customHeight="false" outlineLevel="0" collapsed="false">
      <c r="B30" s="7" t="s">
        <v>238</v>
      </c>
      <c r="C30" s="50" t="n">
        <f aca="false">(Undisturbed*Shares+NetDebt_H1+Leases)/EBITDA_FY24</f>
        <v>11.1817071129707</v>
      </c>
    </row>
    <row r="32" customFormat="false" ht="15" hidden="false" customHeight="false" outlineLevel="0" collapsed="false">
      <c r="B32" s="5" t="s">
        <v>239</v>
      </c>
      <c r="C32" s="6"/>
      <c r="D32" s="6"/>
      <c r="E32" s="6"/>
      <c r="F32" s="6"/>
    </row>
    <row r="33" customFormat="false" ht="15" hidden="false" customHeight="false" outlineLevel="0" collapsed="false">
      <c r="B33" s="22" t="s">
        <v>240</v>
      </c>
      <c r="C33" s="23" t="s">
        <v>71</v>
      </c>
      <c r="D33" s="23"/>
      <c r="E33" s="23"/>
      <c r="F33" s="23" t="s">
        <v>241</v>
      </c>
    </row>
    <row r="34" customFormat="false" ht="15" hidden="false" customHeight="false" outlineLevel="0" collapsed="false">
      <c r="B34" s="7" t="s">
        <v>242</v>
      </c>
      <c r="C34" s="26" t="n">
        <v>218.798721</v>
      </c>
      <c r="F34" s="14" t="s">
        <v>243</v>
      </c>
    </row>
    <row r="35" customFormat="false" ht="15" hidden="false" customHeight="false" outlineLevel="0" collapsed="false">
      <c r="B35" s="7" t="s">
        <v>244</v>
      </c>
      <c r="C35" s="28" t="n">
        <v>0.058</v>
      </c>
      <c r="F35" s="14"/>
    </row>
    <row r="36" customFormat="false" ht="15" hidden="false" customHeight="false" outlineLevel="0" collapsed="false">
      <c r="B36" s="7" t="s">
        <v>245</v>
      </c>
      <c r="C36" s="35" t="n">
        <f aca="false">C34/C35</f>
        <v>3772.39174137931</v>
      </c>
      <c r="F36" s="14"/>
    </row>
    <row r="37" customFormat="false" ht="15" hidden="false" customHeight="false" outlineLevel="0" collapsed="false">
      <c r="B37" s="7" t="s">
        <v>246</v>
      </c>
      <c r="C37" s="26" t="n">
        <v>1042.95385</v>
      </c>
      <c r="F37" s="14" t="s">
        <v>247</v>
      </c>
    </row>
    <row r="38" customFormat="false" ht="15" hidden="false" customHeight="false" outlineLevel="0" collapsed="false">
      <c r="B38" s="7" t="s">
        <v>248</v>
      </c>
      <c r="C38" s="28" t="n">
        <v>0.2854</v>
      </c>
      <c r="F38" s="14" t="s">
        <v>249</v>
      </c>
    </row>
    <row r="39" customFormat="false" ht="15" hidden="false" customHeight="false" outlineLevel="0" collapsed="false">
      <c r="B39" s="7" t="s">
        <v>250</v>
      </c>
      <c r="C39" s="35" t="n">
        <f aca="false">C37/C38</f>
        <v>3654.35826909601</v>
      </c>
      <c r="F39" s="14"/>
    </row>
    <row r="40" customFormat="false" ht="15" hidden="false" customHeight="false" outlineLevel="0" collapsed="false">
      <c r="B40" s="7" t="s">
        <v>251</v>
      </c>
      <c r="C40" s="43" t="n">
        <f aca="false">Equity0</f>
        <v>3436.79235216418</v>
      </c>
      <c r="F40" s="14" t="s">
        <v>252</v>
      </c>
    </row>
    <row r="41" customFormat="false" ht="15" hidden="false" customHeight="false" outlineLevel="0" collapsed="false">
      <c r="B41" s="38" t="s">
        <v>253</v>
      </c>
      <c r="C41" s="40" t="n">
        <f aca="false">C39-C40</f>
        <v>217.565916931827</v>
      </c>
      <c r="F41" s="14"/>
    </row>
    <row r="42" customFormat="false" ht="15" hidden="false" customHeight="false" outlineLevel="0" collapsed="false">
      <c r="B42" s="7" t="s">
        <v>254</v>
      </c>
      <c r="C42" s="35" t="n">
        <f aca="false">C36-C39</f>
        <v>118.033472283304</v>
      </c>
      <c r="F42" s="14" t="s">
        <v>255</v>
      </c>
    </row>
    <row r="43" customFormat="false" ht="15" hidden="false" customHeight="false" outlineLevel="0" collapsed="false">
      <c r="B43" s="7" t="s">
        <v>256</v>
      </c>
      <c r="C43" s="35" t="n">
        <f aca="false">SUM(Debt0)*Margin_TLB*0.5*10/365</f>
        <v>0.780766331016152</v>
      </c>
      <c r="F43" s="14" t="s">
        <v>257</v>
      </c>
    </row>
    <row r="44" customFormat="false" ht="15" hidden="false" customHeight="false" outlineLevel="0" collapsed="false">
      <c r="B44" s="38" t="s">
        <v>258</v>
      </c>
      <c r="C44" s="40" t="n">
        <f aca="false">C41-C43</f>
        <v>216.785150600811</v>
      </c>
      <c r="F44" s="14"/>
    </row>
    <row r="46" customFormat="false" ht="15" hidden="false" customHeight="false" outlineLevel="0" collapsed="false">
      <c r="B46" s="14" t="s">
        <v>259</v>
      </c>
    </row>
    <row r="47" customFormat="false" ht="15" hidden="false" customHeight="false" outlineLevel="0" collapsed="false">
      <c r="B47" s="14" t="s">
        <v>260</v>
      </c>
    </row>
    <row r="48" customFormat="false" ht="15" hidden="false" customHeight="false" outlineLevel="0" collapsed="false">
      <c r="B48" s="14" t="s">
        <v>261</v>
      </c>
    </row>
    <row r="49" customFormat="false" ht="15" hidden="false" customHeight="false" outlineLevel="0" collapsed="false">
      <c r="B49" s="14" t="s">
        <v>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3B6"/>
    <pageSetUpPr fitToPage="false"/>
  </sheetPr>
  <dimension ref="B2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8" min="3" style="0" width="12"/>
  </cols>
  <sheetData>
    <row r="2" customFormat="false" ht="19.7" hidden="false" customHeight="false" outlineLevel="0" collapsed="false">
      <c r="B2" s="20" t="s">
        <v>263</v>
      </c>
    </row>
    <row r="3" customFormat="false" ht="15" hidden="false" customHeight="false" outlineLevel="0" collapsed="false">
      <c r="B3" s="21" t="s">
        <v>264</v>
      </c>
    </row>
    <row r="5" customFormat="false" ht="15" hidden="false" customHeight="false" outlineLevel="0" collapsed="false">
      <c r="B5" s="22" t="s">
        <v>71</v>
      </c>
      <c r="C5" s="23" t="s">
        <v>265</v>
      </c>
      <c r="D5" s="23" t="s">
        <v>197</v>
      </c>
      <c r="E5" s="23" t="s">
        <v>198</v>
      </c>
      <c r="F5" s="23" t="s">
        <v>199</v>
      </c>
      <c r="G5" s="23" t="s">
        <v>200</v>
      </c>
      <c r="H5" s="23" t="s">
        <v>201</v>
      </c>
    </row>
    <row r="6" customFormat="false" ht="15" hidden="false" customHeight="false" outlineLevel="0" collapsed="false">
      <c r="B6" s="5" t="s">
        <v>266</v>
      </c>
      <c r="C6" s="6"/>
      <c r="D6" s="6"/>
      <c r="E6" s="6"/>
      <c r="F6" s="6"/>
      <c r="G6" s="6"/>
      <c r="H6" s="6"/>
    </row>
    <row r="7" customFormat="false" ht="15" hidden="false" customHeight="false" outlineLevel="0" collapsed="false">
      <c r="B7" s="7" t="s">
        <v>267</v>
      </c>
      <c r="D7" s="43" t="n">
        <f aca="false">'Operating Model'!D32</f>
        <v>92.3890070361568</v>
      </c>
      <c r="E7" s="43" t="n">
        <f aca="false">'Operating Model'!E32</f>
        <v>115.56800893223</v>
      </c>
      <c r="F7" s="43" t="n">
        <f aca="false">'Operating Model'!F32</f>
        <v>141.177165977646</v>
      </c>
      <c r="G7" s="43" t="n">
        <f aca="false">'Operating Model'!G32</f>
        <v>169.42598963457</v>
      </c>
      <c r="H7" s="43" t="n">
        <f aca="false">'Operating Model'!H32</f>
        <v>200.54052522272</v>
      </c>
    </row>
    <row r="8" customFormat="false" ht="15" hidden="false" customHeight="false" outlineLevel="0" collapsed="false">
      <c r="B8" s="7" t="s">
        <v>268</v>
      </c>
      <c r="D8" s="35" t="n">
        <f aca="false">-(D14+D21)</f>
        <v>-6.71641791044776</v>
      </c>
      <c r="E8" s="35" t="n">
        <f aca="false">-(E14+E21)</f>
        <v>-6.71641791044776</v>
      </c>
      <c r="F8" s="35" t="n">
        <f aca="false">-(F14+F21)</f>
        <v>-6.71641791044776</v>
      </c>
      <c r="G8" s="35" t="n">
        <f aca="false">-(G14+G21)</f>
        <v>-6.71641791044776</v>
      </c>
      <c r="H8" s="35" t="n">
        <f aca="false">-(H14+H21)</f>
        <v>-6.71641791044776</v>
      </c>
    </row>
    <row r="9" customFormat="false" ht="15" hidden="false" customHeight="false" outlineLevel="0" collapsed="false">
      <c r="B9" s="7" t="s">
        <v>269</v>
      </c>
      <c r="D9" s="35" t="n">
        <f aca="false">D7+D8</f>
        <v>85.672589125709</v>
      </c>
      <c r="E9" s="35" t="n">
        <f aca="false">E7+E8</f>
        <v>108.851591021782</v>
      </c>
      <c r="F9" s="35" t="n">
        <f aca="false">F7+F8</f>
        <v>134.460748067198</v>
      </c>
      <c r="G9" s="35" t="n">
        <f aca="false">G7+G8</f>
        <v>162.709571724122</v>
      </c>
      <c r="H9" s="35" t="n">
        <f aca="false">H7+H8</f>
        <v>193.824107312272</v>
      </c>
    </row>
    <row r="10" customFormat="false" ht="15" hidden="false" customHeight="false" outlineLevel="0" collapsed="false">
      <c r="B10" s="7" t="s">
        <v>270</v>
      </c>
      <c r="D10" s="35" t="n">
        <f aca="false">IF(D9&gt;0,MIN(D9*Sweep,D15+D22),0)</f>
        <v>42.8362945628545</v>
      </c>
      <c r="E10" s="35" t="n">
        <f aca="false">IF(E9&gt;0,MIN(E9*Sweep,E15+E22),0)</f>
        <v>54.4257955108911</v>
      </c>
      <c r="F10" s="35" t="n">
        <f aca="false">IF(F9&gt;0,MIN(F9*Sweep,F15+F22),0)</f>
        <v>67.2303740335989</v>
      </c>
      <c r="G10" s="35" t="n">
        <f aca="false">IF(G9&gt;0,MIN(G9*Sweep,G15+G22),0)</f>
        <v>81.3547858620612</v>
      </c>
      <c r="H10" s="35" t="n">
        <f aca="false">IF(H9&gt;0,MIN(H9*Sweep,H15+H22),0)</f>
        <v>96.9120536561359</v>
      </c>
    </row>
    <row r="11" customFormat="false" ht="15" hidden="false" customHeight="false" outlineLevel="0" collapsed="false">
      <c r="B11" s="7" t="s">
        <v>271</v>
      </c>
      <c r="D11" s="35" t="n">
        <f aca="false">D9-D10</f>
        <v>42.8362945628545</v>
      </c>
      <c r="E11" s="35" t="n">
        <f aca="false">E9-E10</f>
        <v>54.4257955108911</v>
      </c>
      <c r="F11" s="35" t="n">
        <f aca="false">F9-F10</f>
        <v>67.2303740335989</v>
      </c>
      <c r="G11" s="35" t="n">
        <f aca="false">G9-G10</f>
        <v>81.3547858620612</v>
      </c>
      <c r="H11" s="35" t="n">
        <f aca="false">H9-H10</f>
        <v>96.9120536561359</v>
      </c>
    </row>
    <row r="12" customFormat="false" ht="15" hidden="false" customHeight="false" outlineLevel="0" collapsed="false">
      <c r="B12" s="5" t="s">
        <v>272</v>
      </c>
      <c r="C12" s="6"/>
      <c r="D12" s="6"/>
      <c r="E12" s="6"/>
      <c r="F12" s="6"/>
      <c r="G12" s="6"/>
      <c r="H12" s="6"/>
    </row>
    <row r="13" customFormat="false" ht="15" hidden="false" customHeight="false" outlineLevel="0" collapsed="false">
      <c r="B13" s="7" t="s">
        <v>273</v>
      </c>
      <c r="D13" s="35" t="n">
        <f aca="false">C17</f>
        <v>848.25</v>
      </c>
      <c r="E13" s="35" t="n">
        <f aca="false">D17</f>
        <v>824.236995619895</v>
      </c>
      <c r="F13" s="35" t="n">
        <f aca="false">E17</f>
        <v>793.587187180977</v>
      </c>
      <c r="G13" s="35" t="n">
        <f aca="false">F17</f>
        <v>755.545185577706</v>
      </c>
      <c r="H13" s="35" t="n">
        <f aca="false">G17</f>
        <v>709.278223098606</v>
      </c>
    </row>
    <row r="14" customFormat="false" ht="15" hidden="false" customHeight="false" outlineLevel="0" collapsed="false">
      <c r="B14" s="7" t="s">
        <v>274</v>
      </c>
      <c r="D14" s="35" t="n">
        <f aca="false">MIN(D13,$C$17*Amort_EUR)</f>
        <v>0</v>
      </c>
      <c r="E14" s="35" t="n">
        <f aca="false">MIN(E13,$C$17*Amort_EUR)</f>
        <v>0</v>
      </c>
      <c r="F14" s="35" t="n">
        <f aca="false">MIN(F13,$C$17*Amort_EUR)</f>
        <v>0</v>
      </c>
      <c r="G14" s="35" t="n">
        <f aca="false">MIN(G13,$C$17*Amort_EUR)</f>
        <v>0</v>
      </c>
      <c r="H14" s="35" t="n">
        <f aca="false">MIN(H13,$C$17*Amort_EUR)</f>
        <v>0</v>
      </c>
    </row>
    <row r="15" customFormat="false" ht="15" hidden="false" customHeight="false" outlineLevel="0" collapsed="false">
      <c r="B15" s="7" t="s">
        <v>275</v>
      </c>
      <c r="D15" s="35" t="n">
        <f aca="false">D13-D14</f>
        <v>848.25</v>
      </c>
      <c r="E15" s="35" t="n">
        <f aca="false">E13-E14</f>
        <v>824.236995619895</v>
      </c>
      <c r="F15" s="35" t="n">
        <f aca="false">F13-F14</f>
        <v>793.587187180977</v>
      </c>
      <c r="G15" s="35" t="n">
        <f aca="false">G13-G14</f>
        <v>755.545185577706</v>
      </c>
      <c r="H15" s="35" t="n">
        <f aca="false">H13-H14</f>
        <v>709.278223098606</v>
      </c>
    </row>
    <row r="16" customFormat="false" ht="15" hidden="false" customHeight="false" outlineLevel="0" collapsed="false">
      <c r="B16" s="7" t="s">
        <v>276</v>
      </c>
      <c r="D16" s="35" t="n">
        <f aca="false">IF((D15+D22)&gt;0,D10*D15/(D15+D22),0)</f>
        <v>24.0130043801048</v>
      </c>
      <c r="E16" s="35" t="n">
        <f aca="false">IF((E15+E22)&gt;0,E10*E15/(E15+E22),0)</f>
        <v>30.6498084389178</v>
      </c>
      <c r="F16" s="35" t="n">
        <f aca="false">IF((F15+F22)&gt;0,F10*F15/(F15+F22),0)</f>
        <v>38.0420016032712</v>
      </c>
      <c r="G16" s="35" t="n">
        <f aca="false">IF((G15+G22)&gt;0,G10*G15/(G15+G22),0)</f>
        <v>46.2669624791004</v>
      </c>
      <c r="H16" s="35" t="n">
        <f aca="false">IF((H15+H22)&gt;0,H10*H15/(H15+H22),0)</f>
        <v>55.412889869951</v>
      </c>
    </row>
    <row r="17" customFormat="false" ht="15" hidden="false" customHeight="false" outlineLevel="0" collapsed="false">
      <c r="B17" s="38" t="s">
        <v>277</v>
      </c>
      <c r="C17" s="8" t="n">
        <f aca="false">'Sources &amp; Uses'!C13</f>
        <v>848.25</v>
      </c>
      <c r="D17" s="40" t="n">
        <f aca="false">D15-D16</f>
        <v>824.236995619895</v>
      </c>
      <c r="E17" s="40" t="n">
        <f aca="false">E15-E16</f>
        <v>793.587187180977</v>
      </c>
      <c r="F17" s="40" t="n">
        <f aca="false">F15-F16</f>
        <v>755.545185577706</v>
      </c>
      <c r="G17" s="40" t="n">
        <f aca="false">G15-G16</f>
        <v>709.278223098606</v>
      </c>
      <c r="H17" s="40" t="n">
        <f aca="false">H15-H16</f>
        <v>653.865333228655</v>
      </c>
    </row>
    <row r="19" customFormat="false" ht="15" hidden="false" customHeight="false" outlineLevel="0" collapsed="false">
      <c r="B19" s="5" t="s">
        <v>278</v>
      </c>
      <c r="C19" s="6"/>
      <c r="D19" s="6"/>
      <c r="E19" s="6"/>
      <c r="F19" s="6"/>
      <c r="G19" s="6"/>
      <c r="H19" s="6"/>
    </row>
    <row r="20" customFormat="false" ht="15" hidden="false" customHeight="false" outlineLevel="0" collapsed="false">
      <c r="B20" s="7" t="s">
        <v>273</v>
      </c>
      <c r="D20" s="35" t="n">
        <f aca="false">C24</f>
        <v>671.641791044776</v>
      </c>
      <c r="E20" s="35" t="n">
        <f aca="false">D24</f>
        <v>646.102082951579</v>
      </c>
      <c r="F20" s="35" t="n">
        <f aca="false">E24</f>
        <v>615.609677969158</v>
      </c>
      <c r="G20" s="35" t="n">
        <f aca="false">F24</f>
        <v>579.704887628382</v>
      </c>
      <c r="H20" s="35" t="n">
        <f aca="false">G24</f>
        <v>537.900646334974</v>
      </c>
    </row>
    <row r="21" customFormat="false" ht="15" hidden="false" customHeight="false" outlineLevel="0" collapsed="false">
      <c r="B21" s="7" t="s">
        <v>274</v>
      </c>
      <c r="D21" s="35" t="n">
        <f aca="false">MIN(D20,$C$24*Amort_USD)</f>
        <v>6.71641791044776</v>
      </c>
      <c r="E21" s="35" t="n">
        <f aca="false">MIN(E20,$C$24*Amort_USD)</f>
        <v>6.71641791044776</v>
      </c>
      <c r="F21" s="35" t="n">
        <f aca="false">MIN(F20,$C$24*Amort_USD)</f>
        <v>6.71641791044776</v>
      </c>
      <c r="G21" s="35" t="n">
        <f aca="false">MIN(G20,$C$24*Amort_USD)</f>
        <v>6.71641791044776</v>
      </c>
      <c r="H21" s="35" t="n">
        <f aca="false">MIN(H20,$C$24*Amort_USD)</f>
        <v>6.71641791044776</v>
      </c>
    </row>
    <row r="22" customFormat="false" ht="15" hidden="false" customHeight="false" outlineLevel="0" collapsed="false">
      <c r="B22" s="7" t="s">
        <v>275</v>
      </c>
      <c r="D22" s="35" t="n">
        <f aca="false">D20-D21</f>
        <v>664.925373134328</v>
      </c>
      <c r="E22" s="35" t="n">
        <f aca="false">E20-E21</f>
        <v>639.385665041131</v>
      </c>
      <c r="F22" s="35" t="n">
        <f aca="false">F20-F21</f>
        <v>608.89326005871</v>
      </c>
      <c r="G22" s="35" t="n">
        <f aca="false">G20-G21</f>
        <v>572.988469717935</v>
      </c>
      <c r="H22" s="35" t="n">
        <f aca="false">H20-H21</f>
        <v>531.184228424526</v>
      </c>
    </row>
    <row r="23" customFormat="false" ht="15" hidden="false" customHeight="false" outlineLevel="0" collapsed="false">
      <c r="B23" s="7" t="s">
        <v>276</v>
      </c>
      <c r="D23" s="35" t="n">
        <f aca="false">D10-D16</f>
        <v>18.8232901827497</v>
      </c>
      <c r="E23" s="35" t="n">
        <f aca="false">E10-E16</f>
        <v>23.7759870719733</v>
      </c>
      <c r="F23" s="35" t="n">
        <f aca="false">F10-F16</f>
        <v>29.1883724303276</v>
      </c>
      <c r="G23" s="35" t="n">
        <f aca="false">G10-G16</f>
        <v>35.0878233829607</v>
      </c>
      <c r="H23" s="35" t="n">
        <f aca="false">H10-H16</f>
        <v>41.4991637861848</v>
      </c>
    </row>
    <row r="24" customFormat="false" ht="15" hidden="false" customHeight="false" outlineLevel="0" collapsed="false">
      <c r="B24" s="38" t="s">
        <v>277</v>
      </c>
      <c r="C24" s="8" t="n">
        <f aca="false">'Sources &amp; Uses'!C14</f>
        <v>671.641791044776</v>
      </c>
      <c r="D24" s="40" t="n">
        <f aca="false">D22-D23</f>
        <v>646.102082951579</v>
      </c>
      <c r="E24" s="40" t="n">
        <f aca="false">E22-E23</f>
        <v>615.609677969158</v>
      </c>
      <c r="F24" s="40" t="n">
        <f aca="false">F22-F23</f>
        <v>579.704887628382</v>
      </c>
      <c r="G24" s="40" t="n">
        <f aca="false">G22-G23</f>
        <v>537.900646334974</v>
      </c>
      <c r="H24" s="40" t="n">
        <f aca="false">H22-H23</f>
        <v>489.685064638341</v>
      </c>
    </row>
    <row r="26" customFormat="false" ht="15" hidden="false" customHeight="false" outlineLevel="0" collapsed="false">
      <c r="B26" s="5" t="s">
        <v>279</v>
      </c>
      <c r="C26" s="6"/>
      <c r="D26" s="6"/>
      <c r="E26" s="6"/>
      <c r="F26" s="6"/>
      <c r="G26" s="6"/>
      <c r="H26" s="6"/>
    </row>
    <row r="27" customFormat="false" ht="15" hidden="false" customHeight="false" outlineLevel="0" collapsed="false">
      <c r="B27" s="36" t="s">
        <v>280</v>
      </c>
      <c r="D27" s="52" t="n">
        <f aca="false">Euribor+Margin_TLB</f>
        <v>0.0575</v>
      </c>
      <c r="E27" s="52" t="n">
        <f aca="false">Euribor+Margin_TLB</f>
        <v>0.0575</v>
      </c>
      <c r="F27" s="52" t="n">
        <f aca="false">Euribor+Margin_TLB</f>
        <v>0.0575</v>
      </c>
      <c r="G27" s="52" t="n">
        <f aca="false">Euribor+Margin_TLB</f>
        <v>0.0575</v>
      </c>
      <c r="H27" s="52" t="n">
        <f aca="false">Euribor+Margin_TLB</f>
        <v>0.0575</v>
      </c>
    </row>
    <row r="28" customFormat="false" ht="15" hidden="false" customHeight="false" outlineLevel="0" collapsed="false">
      <c r="B28" s="7" t="s">
        <v>281</v>
      </c>
      <c r="D28" s="35" t="n">
        <f aca="false">D13*D27</f>
        <v>48.774375</v>
      </c>
      <c r="E28" s="35" t="n">
        <f aca="false">E13*E27</f>
        <v>47.393627248144</v>
      </c>
      <c r="F28" s="35" t="n">
        <f aca="false">F13*F27</f>
        <v>45.6312632629062</v>
      </c>
      <c r="G28" s="35" t="n">
        <f aca="false">G13*G27</f>
        <v>43.4438481707181</v>
      </c>
      <c r="H28" s="35" t="n">
        <f aca="false">H13*H27</f>
        <v>40.7834978281698</v>
      </c>
    </row>
    <row r="29" customFormat="false" ht="15" hidden="false" customHeight="false" outlineLevel="0" collapsed="false">
      <c r="B29" s="7" t="s">
        <v>282</v>
      </c>
      <c r="D29" s="35" t="n">
        <f aca="false">D20*(SOFR+Margin_TLB)</f>
        <v>49.365671641791</v>
      </c>
      <c r="E29" s="35" t="n">
        <f aca="false">E20*(SOFR+Margin_TLB)</f>
        <v>47.488503096941</v>
      </c>
      <c r="F29" s="35" t="n">
        <f aca="false">F20*(SOFR+Margin_TLB)</f>
        <v>45.2473113307331</v>
      </c>
      <c r="G29" s="35" t="n">
        <f aca="false">G20*(SOFR+Margin_TLB)</f>
        <v>42.6083092406861</v>
      </c>
      <c r="H29" s="35" t="n">
        <f aca="false">H20*(SOFR+Margin_TLB)</f>
        <v>39.5356975056206</v>
      </c>
    </row>
    <row r="30" customFormat="false" ht="15" hidden="false" customHeight="false" outlineLevel="0" collapsed="false">
      <c r="B30" s="38" t="s">
        <v>283</v>
      </c>
      <c r="D30" s="40" t="n">
        <f aca="false">D28+D29</f>
        <v>98.140046641791</v>
      </c>
      <c r="E30" s="40" t="n">
        <f aca="false">E28+E29</f>
        <v>94.882130345085</v>
      </c>
      <c r="F30" s="40" t="n">
        <f aca="false">F28+F29</f>
        <v>90.8785745936393</v>
      </c>
      <c r="G30" s="40" t="n">
        <f aca="false">G28+G29</f>
        <v>86.0521574114042</v>
      </c>
      <c r="H30" s="40" t="n">
        <f aca="false">H28+H29</f>
        <v>80.3191953337904</v>
      </c>
    </row>
    <row r="32" customFormat="false" ht="15" hidden="false" customHeight="false" outlineLevel="0" collapsed="false">
      <c r="B32" s="5" t="s">
        <v>284</v>
      </c>
      <c r="C32" s="6"/>
      <c r="D32" s="6"/>
      <c r="E32" s="6"/>
      <c r="F32" s="6"/>
      <c r="G32" s="6"/>
      <c r="H32" s="6"/>
    </row>
    <row r="33" customFormat="false" ht="15" hidden="false" customHeight="false" outlineLevel="0" collapsed="false">
      <c r="B33" s="7" t="s">
        <v>285</v>
      </c>
      <c r="C33" s="43" t="n">
        <f aca="false">Cash_Close</f>
        <v>59.2</v>
      </c>
      <c r="D33" s="35" t="n">
        <f aca="false">C33+D11</f>
        <v>102.036294562855</v>
      </c>
      <c r="E33" s="35" t="n">
        <f aca="false">D33+E11</f>
        <v>156.462090073746</v>
      </c>
      <c r="F33" s="35" t="n">
        <f aca="false">E33+F11</f>
        <v>223.692464107345</v>
      </c>
      <c r="G33" s="35" t="n">
        <f aca="false">F33+G11</f>
        <v>305.047249969406</v>
      </c>
      <c r="H33" s="35" t="n">
        <f aca="false">G33+H11</f>
        <v>401.959303625542</v>
      </c>
    </row>
    <row r="34" customFormat="false" ht="15" hidden="false" customHeight="false" outlineLevel="0" collapsed="false">
      <c r="B34" s="7" t="s">
        <v>286</v>
      </c>
      <c r="C34" s="35" t="n">
        <f aca="false">C17+C24</f>
        <v>1519.89179104478</v>
      </c>
      <c r="D34" s="35" t="n">
        <f aca="false">D17+D24</f>
        <v>1470.33907857147</v>
      </c>
      <c r="E34" s="35" t="n">
        <f aca="false">E17+E24</f>
        <v>1409.19686515014</v>
      </c>
      <c r="F34" s="35" t="n">
        <f aca="false">F17+F24</f>
        <v>1335.25007320609</v>
      </c>
      <c r="G34" s="35" t="n">
        <f aca="false">G17+G24</f>
        <v>1247.17886943358</v>
      </c>
      <c r="H34" s="35" t="n">
        <f aca="false">H17+H24</f>
        <v>1143.550397867</v>
      </c>
    </row>
    <row r="35" customFormat="false" ht="15" hidden="false" customHeight="false" outlineLevel="0" collapsed="false">
      <c r="B35" s="38" t="s">
        <v>287</v>
      </c>
      <c r="C35" s="40" t="n">
        <f aca="false">C34-C33</f>
        <v>1460.69179104478</v>
      </c>
      <c r="D35" s="40" t="n">
        <f aca="false">D34-D33</f>
        <v>1368.30278400862</v>
      </c>
      <c r="E35" s="40" t="n">
        <f aca="false">E34-E33</f>
        <v>1252.73477507639</v>
      </c>
      <c r="F35" s="40" t="n">
        <f aca="false">F34-F33</f>
        <v>1111.55760909874</v>
      </c>
      <c r="G35" s="40" t="n">
        <f aca="false">G34-G33</f>
        <v>942.131619464174</v>
      </c>
      <c r="H35" s="40" t="n">
        <f aca="false">H34-H33</f>
        <v>741.591094241454</v>
      </c>
    </row>
    <row r="36" customFormat="false" ht="15" hidden="false" customHeight="false" outlineLevel="0" collapsed="false">
      <c r="B36" s="36" t="s">
        <v>191</v>
      </c>
      <c r="C36" s="41" t="n">
        <f aca="false">C35/'Operating Model'!C24</f>
        <v>5.7841823050695</v>
      </c>
      <c r="D36" s="41" t="n">
        <f aca="false">D35/'Operating Model'!D24</f>
        <v>4.86671225082629</v>
      </c>
      <c r="E36" s="41" t="n">
        <f aca="false">E35/'Operating Model'!E24</f>
        <v>4.01155638988675</v>
      </c>
      <c r="F36" s="41" t="n">
        <f aca="false">F35/'Operating Model'!F24</f>
        <v>3.21157600264565</v>
      </c>
      <c r="G36" s="41" t="n">
        <f aca="false">G35/'Operating Model'!G24</f>
        <v>2.46080582456906</v>
      </c>
      <c r="H36" s="41" t="n">
        <f aca="false">H35/'Operating Model'!H24</f>
        <v>1.75421423545561</v>
      </c>
    </row>
    <row r="37" customFormat="false" ht="15" hidden="false" customHeight="false" outlineLevel="0" collapsed="false">
      <c r="B37" s="36" t="s">
        <v>288</v>
      </c>
      <c r="D37" s="41" t="n">
        <f aca="false">'Operating Model'!D24/D30</f>
        <v>2.86483940502098</v>
      </c>
      <c r="E37" s="41" t="n">
        <f aca="false">'Operating Model'!E24/E30</f>
        <v>3.29125706803654</v>
      </c>
      <c r="F37" s="41" t="n">
        <f aca="false">'Operating Model'!F24/F30</f>
        <v>3.80848513813611</v>
      </c>
      <c r="G37" s="41" t="n">
        <f aca="false">'Operating Model'!G24/G30</f>
        <v>4.44910310766501</v>
      </c>
      <c r="H37" s="41" t="n">
        <f aca="false">'Operating Model'!H24/H30</f>
        <v>5.26335333680429</v>
      </c>
    </row>
    <row r="38" customFormat="false" ht="15" hidden="false" customHeight="false" outlineLevel="0" collapsed="false">
      <c r="B38" s="36" t="s">
        <v>289</v>
      </c>
      <c r="D38" s="37" t="n">
        <f aca="false">1-D34/$C$34</f>
        <v>0.0326027897283659</v>
      </c>
      <c r="E38" s="37" t="n">
        <f aca="false">1-E34/$C$34</f>
        <v>0.0728307939728717</v>
      </c>
      <c r="F38" s="37" t="n">
        <f aca="false">1-F34/$C$34</f>
        <v>0.12148346278768</v>
      </c>
      <c r="G38" s="37" t="n">
        <f aca="false">1-G34/$C$34</f>
        <v>0.179429169377731</v>
      </c>
      <c r="H38" s="37" t="n">
        <f aca="false">1-H34/$C$34</f>
        <v>0.247610649254894</v>
      </c>
    </row>
    <row r="39" customFormat="false" ht="15" hidden="false" customHeight="false" outlineLevel="0" collapsed="false">
      <c r="B39" s="36" t="s">
        <v>290</v>
      </c>
      <c r="D39" s="53" t="str">
        <f aca="false">IF(D36&lt;=4,"Ratchet","No")</f>
        <v>No</v>
      </c>
      <c r="E39" s="53" t="str">
        <f aca="false">IF(E36&lt;=4,"Ratchet","No")</f>
        <v>No</v>
      </c>
      <c r="F39" s="53" t="str">
        <f aca="false">IF(F36&lt;=4,"Ratchet","No")</f>
        <v>Ratchet</v>
      </c>
      <c r="G39" s="53" t="str">
        <f aca="false">IF(G36&lt;=4,"Ratchet","No")</f>
        <v>Ratchet</v>
      </c>
      <c r="H39" s="53" t="str">
        <f aca="false">IF(H36&lt;=4,"Ratchet","No")</f>
        <v>Ratchet</v>
      </c>
    </row>
    <row r="41" customFormat="false" ht="15" hidden="false" customHeight="false" outlineLevel="0" collapsed="false">
      <c r="B41" s="14" t="s">
        <v>291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3B6"/>
    <pageSetUpPr fitToPage="false"/>
  </sheetPr>
  <dimension ref="B2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8" min="4" style="0" width="12"/>
  </cols>
  <sheetData>
    <row r="2" customFormat="false" ht="19.7" hidden="false" customHeight="false" outlineLevel="0" collapsed="false">
      <c r="B2" s="20" t="s">
        <v>292</v>
      </c>
    </row>
    <row r="3" customFormat="false" ht="15" hidden="false" customHeight="false" outlineLevel="0" collapsed="false">
      <c r="B3" s="21" t="s">
        <v>293</v>
      </c>
    </row>
    <row r="5" customFormat="false" ht="15" hidden="false" customHeight="false" outlineLevel="0" collapsed="false">
      <c r="B5" s="5" t="s">
        <v>294</v>
      </c>
      <c r="C5" s="6"/>
    </row>
    <row r="6" customFormat="false" ht="15" hidden="false" customHeight="false" outlineLevel="0" collapsed="false">
      <c r="B6" s="7" t="s">
        <v>295</v>
      </c>
      <c r="C6" s="43" t="n">
        <f aca="false">EBITDA_Exit</f>
        <v>422.748304769541</v>
      </c>
    </row>
    <row r="7" customFormat="false" ht="15" hidden="false" customHeight="false" outlineLevel="0" collapsed="false">
      <c r="B7" s="7" t="s">
        <v>296</v>
      </c>
      <c r="C7" s="54" t="n">
        <f aca="false">ExitMult</f>
        <v>18</v>
      </c>
    </row>
    <row r="8" customFormat="false" ht="15" hidden="false" customHeight="false" outlineLevel="0" collapsed="false">
      <c r="B8" s="7" t="s">
        <v>297</v>
      </c>
      <c r="C8" s="35" t="n">
        <f aca="false">C6*C7</f>
        <v>7609.46948585174</v>
      </c>
    </row>
    <row r="9" customFormat="false" ht="15" hidden="false" customHeight="false" outlineLevel="0" collapsed="false">
      <c r="B9" s="7" t="s">
        <v>298</v>
      </c>
      <c r="C9" s="43" t="n">
        <f aca="false">-ND_Exit</f>
        <v>-741.591094241454</v>
      </c>
    </row>
    <row r="10" customFormat="false" ht="15" hidden="false" customHeight="false" outlineLevel="0" collapsed="false">
      <c r="B10" s="7" t="s">
        <v>299</v>
      </c>
      <c r="C10" s="43" t="n">
        <f aca="false">-Leases</f>
        <v>-76.5</v>
      </c>
    </row>
    <row r="11" customFormat="false" ht="15" hidden="false" customHeight="false" outlineLevel="0" collapsed="false">
      <c r="B11" s="38" t="s">
        <v>300</v>
      </c>
      <c r="C11" s="40" t="n">
        <f aca="false">SUM(C8:C10)</f>
        <v>6791.37839161029</v>
      </c>
    </row>
    <row r="12" customFormat="false" ht="15" hidden="false" customHeight="false" outlineLevel="0" collapsed="false">
      <c r="B12" s="7" t="s">
        <v>301</v>
      </c>
      <c r="C12" s="43" t="n">
        <f aca="false">Equity0</f>
        <v>3436.79235216418</v>
      </c>
    </row>
    <row r="13" customFormat="false" ht="15" hidden="false" customHeight="false" outlineLevel="0" collapsed="false">
      <c r="B13" s="38" t="s">
        <v>302</v>
      </c>
      <c r="C13" s="55" t="n">
        <f aca="false">C11/C12</f>
        <v>1.97608051220601</v>
      </c>
    </row>
    <row r="14" customFormat="false" ht="15" hidden="false" customHeight="false" outlineLevel="0" collapsed="false">
      <c r="B14" s="38" t="s">
        <v>303</v>
      </c>
      <c r="C14" s="56" t="n">
        <f aca="false">IRR(C18:H18)</f>
        <v>0.145937487880933</v>
      </c>
    </row>
    <row r="15" customFormat="false" ht="15" hidden="false" customHeight="false" outlineLevel="0" collapsed="false">
      <c r="B15" s="7" t="s">
        <v>304</v>
      </c>
      <c r="C15" s="51" t="n">
        <f aca="false">C13^(1/Hold)-1</f>
        <v>0.145937487880933</v>
      </c>
    </row>
    <row r="17" customFormat="false" ht="15" hidden="false" customHeight="false" outlineLevel="0" collapsed="false">
      <c r="B17" s="22" t="s">
        <v>305</v>
      </c>
      <c r="C17" s="23" t="s">
        <v>196</v>
      </c>
      <c r="D17" s="23" t="s">
        <v>197</v>
      </c>
      <c r="E17" s="23" t="s">
        <v>198</v>
      </c>
      <c r="F17" s="23" t="s">
        <v>199</v>
      </c>
      <c r="G17" s="23" t="s">
        <v>200</v>
      </c>
      <c r="H17" s="23" t="s">
        <v>201</v>
      </c>
    </row>
    <row r="18" customFormat="false" ht="15" hidden="false" customHeight="false" outlineLevel="0" collapsed="false">
      <c r="B18" s="7" t="s">
        <v>306</v>
      </c>
      <c r="C18" s="35" t="n">
        <f aca="false">-C12</f>
        <v>-3436.79235216418</v>
      </c>
      <c r="D18" s="26" t="n">
        <v>0</v>
      </c>
      <c r="E18" s="26" t="n">
        <v>0</v>
      </c>
      <c r="F18" s="26" t="n">
        <v>0</v>
      </c>
      <c r="G18" s="26" t="n">
        <v>0</v>
      </c>
      <c r="H18" s="35" t="n">
        <f aca="false">C11</f>
        <v>6791.37839161029</v>
      </c>
    </row>
    <row r="20" customFormat="false" ht="15" hidden="false" customHeight="false" outlineLevel="0" collapsed="false">
      <c r="B20" s="5" t="s">
        <v>307</v>
      </c>
      <c r="C20" s="6"/>
    </row>
    <row r="21" customFormat="false" ht="15" hidden="false" customHeight="false" outlineLevel="0" collapsed="false">
      <c r="B21" s="7" t="s">
        <v>308</v>
      </c>
      <c r="C21" s="35" t="n">
        <f aca="false">(EBITDA_Exit-EBITDA_25)*EntryMult</f>
        <v>3250.37875327726</v>
      </c>
      <c r="D21" s="37" t="n">
        <f aca="false">C21/$C$25</f>
        <v>0.968935873176753</v>
      </c>
    </row>
    <row r="22" customFormat="false" ht="15" hidden="false" customHeight="false" outlineLevel="0" collapsed="false">
      <c r="B22" s="7" t="s">
        <v>309</v>
      </c>
      <c r="C22" s="35" t="n">
        <f aca="false">(ExitMult-EntryMult)*EBITDA_Exit</f>
        <v>-463.159267425521</v>
      </c>
      <c r="D22" s="37" t="n">
        <f aca="false">C22/$C$25</f>
        <v>-0.138067487904408</v>
      </c>
    </row>
    <row r="23" customFormat="false" ht="15" hidden="false" customHeight="false" outlineLevel="0" collapsed="false">
      <c r="B23" s="7" t="s">
        <v>310</v>
      </c>
      <c r="C23" s="35" t="n">
        <f aca="false">ND_Close-ND_Exit</f>
        <v>719.100696803322</v>
      </c>
      <c r="D23" s="37" t="n">
        <f aca="false">C23/$C$25</f>
        <v>0.214363467905583</v>
      </c>
    </row>
    <row r="24" customFormat="false" ht="15" hidden="false" customHeight="false" outlineLevel="0" collapsed="false">
      <c r="B24" s="7" t="s">
        <v>311</v>
      </c>
      <c r="C24" s="35" t="n">
        <f aca="false">C26-SUM(C21:C23)</f>
        <v>-151.734143208954</v>
      </c>
      <c r="D24" s="37" t="n">
        <f aca="false">C24/$C$25</f>
        <v>-0.0452318531779281</v>
      </c>
      <c r="F24" s="14" t="s">
        <v>312</v>
      </c>
    </row>
    <row r="25" customFormat="false" ht="15" hidden="false" customHeight="false" outlineLevel="0" collapsed="false">
      <c r="B25" s="38" t="s">
        <v>313</v>
      </c>
      <c r="C25" s="40" t="n">
        <f aca="false">SUM(C21:C24)</f>
        <v>3354.58603944611</v>
      </c>
    </row>
    <row r="26" customFormat="false" ht="15" hidden="false" customHeight="false" outlineLevel="0" collapsed="false">
      <c r="B26" s="7" t="s">
        <v>314</v>
      </c>
      <c r="C26" s="35" t="n">
        <f aca="false">C11-C12</f>
        <v>3354.58603944611</v>
      </c>
    </row>
    <row r="28" customFormat="false" ht="15" hidden="false" customHeight="false" outlineLevel="0" collapsed="false">
      <c r="B28" s="5" t="s">
        <v>315</v>
      </c>
      <c r="C28" s="6"/>
    </row>
    <row r="29" customFormat="false" ht="15" hidden="false" customHeight="false" outlineLevel="0" collapsed="false">
      <c r="B29" s="7" t="s">
        <v>155</v>
      </c>
      <c r="C29" s="57" t="n">
        <f aca="false">Hurdle</f>
        <v>0.18</v>
      </c>
    </row>
    <row r="30" customFormat="false" ht="15" hidden="false" customHeight="false" outlineLevel="0" collapsed="false">
      <c r="B30" s="7" t="s">
        <v>316</v>
      </c>
      <c r="C30" s="35" t="n">
        <f aca="false">C12*(1+C29)^Hold</f>
        <v>7862.54836217452</v>
      </c>
    </row>
    <row r="31" customFormat="false" ht="15" hidden="false" customHeight="false" outlineLevel="0" collapsed="false">
      <c r="B31" s="38" t="s">
        <v>317</v>
      </c>
      <c r="C31" s="55" t="n">
        <f aca="false">(C30+ND_Exit+Leases)/EBITDA_Exit</f>
        <v>20.5338244020829</v>
      </c>
    </row>
    <row r="32" customFormat="false" ht="15" hidden="false" customHeight="false" outlineLevel="0" collapsed="false">
      <c r="B32" s="7" t="s">
        <v>318</v>
      </c>
      <c r="C32" s="35" t="n">
        <f aca="false">EqExit/(1+C29)^Hold</f>
        <v>2968.57408588125</v>
      </c>
    </row>
    <row r="33" customFormat="false" ht="15" hidden="false" customHeight="false" outlineLevel="0" collapsed="false">
      <c r="B33" s="38" t="s">
        <v>319</v>
      </c>
      <c r="C33" s="58" t="n">
        <f aca="false">(C32+SUM(Debt0)-Gross_Debt-FinFees-Advisory-Target_Costs)/(Shares*(1+Stamp))+Dividend</f>
        <v>37.1188983879516</v>
      </c>
    </row>
    <row r="34" customFormat="false" ht="15" hidden="false" customHeight="false" outlineLevel="0" collapsed="false">
      <c r="B34" s="7" t="s">
        <v>320</v>
      </c>
      <c r="C34" s="51" t="n">
        <f aca="false">C33/Price-1</f>
        <v>-0.110924589510142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3B6"/>
    <pageSetUpPr fitToPage="false"/>
  </sheetPr>
  <dimension ref="B2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10" min="9" style="0" width="10"/>
  </cols>
  <sheetData>
    <row r="2" customFormat="false" ht="19.7" hidden="false" customHeight="false" outlineLevel="0" collapsed="false">
      <c r="B2" s="20" t="s">
        <v>321</v>
      </c>
    </row>
    <row r="3" customFormat="false" ht="15" hidden="false" customHeight="false" outlineLevel="0" collapsed="false">
      <c r="B3" s="21" t="s">
        <v>322</v>
      </c>
    </row>
    <row r="5" customFormat="false" ht="15" hidden="false" customHeight="false" outlineLevel="0" collapsed="false">
      <c r="B5" s="22" t="s">
        <v>323</v>
      </c>
      <c r="C5" s="23" t="s">
        <v>324</v>
      </c>
      <c r="D5" s="23" t="s">
        <v>325</v>
      </c>
      <c r="E5" s="23" t="s">
        <v>326</v>
      </c>
      <c r="F5" s="23" t="s">
        <v>327</v>
      </c>
      <c r="G5" s="23" t="s">
        <v>328</v>
      </c>
      <c r="H5" s="23" t="s">
        <v>329</v>
      </c>
      <c r="I5" s="23" t="s">
        <v>330</v>
      </c>
      <c r="J5" s="23" t="s">
        <v>331</v>
      </c>
    </row>
    <row r="6" customFormat="false" ht="15" hidden="false" customHeight="false" outlineLevel="0" collapsed="false">
      <c r="B6" s="7" t="s">
        <v>332</v>
      </c>
      <c r="C6" s="7" t="s">
        <v>333</v>
      </c>
      <c r="D6" s="24" t="n">
        <v>37.63</v>
      </c>
      <c r="E6" s="51" t="n">
        <f aca="false">D6/Undisturbed-1</f>
        <v>0.846418056918548</v>
      </c>
      <c r="F6" s="35" t="n">
        <f aca="false">D6*Shares+NetDebt_H1+Leases</f>
        <v>4407.778</v>
      </c>
      <c r="G6" s="50" t="n">
        <f aca="false">F6/EBITDA_FY24</f>
        <v>18.4425857740586</v>
      </c>
      <c r="H6" s="35" t="n">
        <f aca="false">(D6-Dividend)*Shares*(1+Stamp)+Gross_Debt+FinFees+Advisory+Target_Costs-SUM(Debt0)</f>
        <v>3020.24799216418</v>
      </c>
      <c r="I6" s="50" t="n">
        <f aca="false">EqExit/H6</f>
        <v>2.24861614318759</v>
      </c>
      <c r="J6" s="56" t="n">
        <f aca="false">I6^(1/Hold)-1</f>
        <v>0.175934318034263</v>
      </c>
    </row>
    <row r="7" customFormat="false" ht="15" hidden="false" customHeight="false" outlineLevel="0" collapsed="false">
      <c r="B7" s="7" t="s">
        <v>334</v>
      </c>
      <c r="C7" s="7" t="s">
        <v>335</v>
      </c>
      <c r="D7" s="24" t="n">
        <v>40</v>
      </c>
      <c r="E7" s="51" t="n">
        <f aca="false">D7/Undisturbed-1</f>
        <v>0.962708537782139</v>
      </c>
      <c r="F7" s="35" t="n">
        <f aca="false">D7*Shares+NetDebt_H1+Leases</f>
        <v>4646.2</v>
      </c>
      <c r="G7" s="50" t="n">
        <f aca="false">F7/EBITDA_FY24</f>
        <v>19.4401673640167</v>
      </c>
      <c r="H7" s="35" t="n">
        <f aca="false">(D7-Dividend)*Shares*(1+Stamp)+Gross_Debt+FinFees+Advisory+Target_Costs-SUM(Debt0)</f>
        <v>3259.86210216418</v>
      </c>
      <c r="I7" s="50" t="n">
        <f aca="false">EqExit/H7</f>
        <v>2.08333303028419</v>
      </c>
      <c r="J7" s="56" t="n">
        <f aca="false">I7^(1/Hold)-1</f>
        <v>0.158115141926575</v>
      </c>
    </row>
    <row r="8" customFormat="false" ht="15" hidden="false" customHeight="false" outlineLevel="0" collapsed="false">
      <c r="B8" s="7" t="s">
        <v>336</v>
      </c>
      <c r="C8" s="7" t="s">
        <v>337</v>
      </c>
      <c r="D8" s="24" t="n">
        <v>41</v>
      </c>
      <c r="E8" s="51" t="n">
        <f aca="false">D8/Undisturbed-1</f>
        <v>1.01177625122669</v>
      </c>
      <c r="F8" s="35" t="n">
        <f aca="false">D8*Shares+NetDebt_H1+Leases</f>
        <v>4746.8</v>
      </c>
      <c r="G8" s="50" t="n">
        <f aca="false">F8/EBITDA_FY24</f>
        <v>19.8610878661088</v>
      </c>
      <c r="H8" s="35" t="n">
        <f aca="false">(D8-Dividend)*Shares*(1+Stamp)+Gross_Debt+FinFees+Advisory+Target_Costs-SUM(Debt0)</f>
        <v>3360.96510216418</v>
      </c>
      <c r="I8" s="50" t="n">
        <f aca="false">EqExit/H8</f>
        <v>2.02066316821832</v>
      </c>
      <c r="J8" s="56" t="n">
        <f aca="false">I8^(1/Hold)-1</f>
        <v>0.151062180986259</v>
      </c>
    </row>
    <row r="9" customFormat="false" ht="15" hidden="false" customHeight="false" outlineLevel="0" collapsed="false">
      <c r="B9" s="38" t="s">
        <v>338</v>
      </c>
      <c r="C9" s="7" t="s">
        <v>339</v>
      </c>
      <c r="D9" s="24" t="n">
        <v>41.75</v>
      </c>
      <c r="E9" s="51" t="n">
        <f aca="false">D9/Undisturbed-1</f>
        <v>1.04857703631011</v>
      </c>
      <c r="F9" s="35" t="n">
        <f aca="false">D9*Shares+NetDebt_H1+Leases</f>
        <v>4822.25</v>
      </c>
      <c r="G9" s="50" t="n">
        <f aca="false">F9/EBITDA_FY24</f>
        <v>20.1767782426778</v>
      </c>
      <c r="H9" s="35" t="n">
        <f aca="false">(D9-Dividend)*Shares*(1+Stamp)+Gross_Debt+FinFees+Advisory+Target_Costs-SUM(Debt0)</f>
        <v>3436.79235216418</v>
      </c>
      <c r="I9" s="50" t="n">
        <f aca="false">EqExit/H9</f>
        <v>1.97608051220601</v>
      </c>
      <c r="J9" s="56" t="n">
        <f aca="false">I9^(1/Hold)-1</f>
        <v>0.145937487880933</v>
      </c>
    </row>
    <row r="11" customFormat="false" ht="15" hidden="false" customHeight="false" outlineLevel="0" collapsed="false">
      <c r="B11" s="38" t="s">
        <v>340</v>
      </c>
      <c r="J11" s="56" t="n">
        <f aca="false">J6-J9</f>
        <v>0.0299968301533298</v>
      </c>
    </row>
    <row r="12" customFormat="false" ht="15" hidden="false" customHeight="false" outlineLevel="0" collapsed="false">
      <c r="B12" s="7" t="s">
        <v>341</v>
      </c>
      <c r="J12" s="35" t="n">
        <f aca="false">H9-H6</f>
        <v>416.54436</v>
      </c>
    </row>
    <row r="14" customFormat="false" ht="15" hidden="false" customHeight="false" outlineLevel="0" collapsed="false">
      <c r="B14" s="5" t="s">
        <v>342</v>
      </c>
      <c r="C14" s="6"/>
      <c r="D14" s="6"/>
      <c r="E14" s="6"/>
      <c r="F14" s="6"/>
      <c r="G14" s="6"/>
      <c r="H14" s="6"/>
      <c r="I14" s="6"/>
      <c r="J14" s="6"/>
    </row>
    <row r="15" customFormat="false" ht="15" hidden="false" customHeight="false" outlineLevel="0" collapsed="false">
      <c r="B15" s="22" t="s">
        <v>71</v>
      </c>
      <c r="C15" s="23" t="s">
        <v>343</v>
      </c>
      <c r="D15" s="23" t="s">
        <v>344</v>
      </c>
    </row>
    <row r="16" customFormat="false" ht="15" hidden="false" customHeight="false" outlineLevel="0" collapsed="false">
      <c r="B16" s="7" t="s">
        <v>345</v>
      </c>
      <c r="C16" s="26" t="n">
        <v>1750</v>
      </c>
      <c r="D16" s="35" t="n">
        <f aca="false">SUM(Debt0)</f>
        <v>1519.89179104478</v>
      </c>
      <c r="F16" s="14" t="s">
        <v>346</v>
      </c>
    </row>
    <row r="17" customFormat="false" ht="15" hidden="false" customHeight="false" outlineLevel="0" collapsed="false">
      <c r="B17" s="7" t="s">
        <v>347</v>
      </c>
      <c r="C17" s="26" t="n">
        <v>325</v>
      </c>
      <c r="D17" s="26" t="n">
        <v>0</v>
      </c>
      <c r="F17" s="14" t="s">
        <v>348</v>
      </c>
    </row>
    <row r="18" customFormat="false" ht="15" hidden="false" customHeight="false" outlineLevel="0" collapsed="false">
      <c r="B18" s="7" t="s">
        <v>349</v>
      </c>
      <c r="C18" s="26" t="n">
        <v>325</v>
      </c>
      <c r="D18" s="35" t="n">
        <f aca="false">RCF</f>
        <v>325</v>
      </c>
    </row>
    <row r="19" customFormat="false" ht="15" hidden="false" customHeight="false" outlineLevel="0" collapsed="false">
      <c r="B19" s="38" t="s">
        <v>350</v>
      </c>
      <c r="C19" s="40" t="n">
        <f aca="false">C16+C17</f>
        <v>2075</v>
      </c>
      <c r="D19" s="40" t="n">
        <f aca="false">D16+D17</f>
        <v>1519.89179104478</v>
      </c>
      <c r="F19" s="14" t="s">
        <v>351</v>
      </c>
    </row>
    <row r="20" customFormat="false" ht="15" hidden="false" customHeight="false" outlineLevel="0" collapsed="false">
      <c r="B20" s="7" t="s">
        <v>8</v>
      </c>
      <c r="C20" s="50" t="n">
        <f aca="false">C19/EBITDA_FY24</f>
        <v>8.68200836820084</v>
      </c>
      <c r="D20" s="50" t="n">
        <f aca="false">D19/EBITDA_FY24</f>
        <v>6.35937987884844</v>
      </c>
      <c r="F20" s="14" t="s">
        <v>352</v>
      </c>
    </row>
    <row r="21" customFormat="false" ht="15" hidden="false" customHeight="false" outlineLevel="0" collapsed="false">
      <c r="B21" s="7" t="s">
        <v>353</v>
      </c>
      <c r="C21" s="59" t="n">
        <f aca="false">D6</f>
        <v>37.63</v>
      </c>
      <c r="D21" s="59" t="n">
        <f aca="false">D9</f>
        <v>41.75</v>
      </c>
    </row>
    <row r="22" customFormat="false" ht="15" hidden="false" customHeight="false" outlineLevel="0" collapsed="false">
      <c r="B22" s="38" t="s">
        <v>354</v>
      </c>
      <c r="C22" s="40" t="n">
        <f aca="false">(C21-Dividend)*Shares*(1+Stamp)+Gross_Debt+FinFees+Advisory+Target_Costs-C19</f>
        <v>2465.13978320895</v>
      </c>
      <c r="D22" s="40" t="n">
        <f aca="false">H9</f>
        <v>3436.79235216418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3B6"/>
    <pageSetUpPr fitToPage="false"/>
  </sheetPr>
  <dimension ref="B2:J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4" min="3" style="0" width="9"/>
    <col collapsed="false" customWidth="true" hidden="false" outlineLevel="0" max="6" min="5" style="0" width="12"/>
    <col collapsed="false" customWidth="true" hidden="false" outlineLevel="0" max="9" min="7" style="0" width="11"/>
    <col collapsed="false" customWidth="true" hidden="false" outlineLevel="0" max="10" min="10" style="0" width="14"/>
  </cols>
  <sheetData>
    <row r="2" customFormat="false" ht="19.7" hidden="false" customHeight="false" outlineLevel="0" collapsed="false">
      <c r="B2" s="20" t="s">
        <v>355</v>
      </c>
    </row>
    <row r="3" customFormat="false" ht="15" hidden="false" customHeight="false" outlineLevel="0" collapsed="false">
      <c r="B3" s="21" t="s">
        <v>356</v>
      </c>
    </row>
    <row r="5" customFormat="false" ht="35.05" hidden="false" customHeight="false" outlineLevel="0" collapsed="false">
      <c r="B5" s="22" t="s">
        <v>357</v>
      </c>
      <c r="C5" s="23" t="s">
        <v>358</v>
      </c>
      <c r="D5" s="23" t="s">
        <v>359</v>
      </c>
      <c r="E5" s="23" t="s">
        <v>360</v>
      </c>
      <c r="F5" s="23" t="s">
        <v>361</v>
      </c>
      <c r="G5" s="23" t="s">
        <v>362</v>
      </c>
      <c r="H5" s="23" t="s">
        <v>363</v>
      </c>
      <c r="I5" s="23" t="s">
        <v>187</v>
      </c>
      <c r="J5" s="23" t="s">
        <v>364</v>
      </c>
    </row>
    <row r="6" customFormat="false" ht="15" hidden="false" customHeight="false" outlineLevel="0" collapsed="false">
      <c r="B6" s="7" t="s">
        <v>365</v>
      </c>
      <c r="C6" s="7" t="s">
        <v>366</v>
      </c>
      <c r="D6" s="7" t="s">
        <v>367</v>
      </c>
      <c r="E6" s="60" t="n">
        <v>31.86</v>
      </c>
      <c r="F6" s="60" t="n">
        <v>4.13</v>
      </c>
      <c r="G6" s="61" t="n">
        <v>24.98</v>
      </c>
      <c r="H6" s="62" t="n">
        <f aca="false">E6/G6</f>
        <v>1.27542033626902</v>
      </c>
      <c r="I6" s="51" t="n">
        <f aca="false">H6/F6</f>
        <v>0.308818483358115</v>
      </c>
      <c r="J6" s="7" t="s">
        <v>368</v>
      </c>
    </row>
    <row r="7" customFormat="false" ht="15" hidden="false" customHeight="false" outlineLevel="0" collapsed="false">
      <c r="B7" s="7" t="s">
        <v>369</v>
      </c>
      <c r="C7" s="7" t="s">
        <v>370</v>
      </c>
      <c r="D7" s="7" t="s">
        <v>367</v>
      </c>
      <c r="E7" s="60" t="n">
        <v>49.69</v>
      </c>
      <c r="F7" s="60" t="n">
        <v>7.37</v>
      </c>
      <c r="G7" s="61" t="n">
        <v>23.89</v>
      </c>
      <c r="H7" s="62" t="n">
        <f aca="false">E7/G7</f>
        <v>2.07994976977815</v>
      </c>
      <c r="I7" s="51" t="n">
        <f aca="false">H7/F7</f>
        <v>0.282218421950902</v>
      </c>
      <c r="J7" s="7" t="s">
        <v>371</v>
      </c>
    </row>
    <row r="8" customFormat="false" ht="15" hidden="false" customHeight="false" outlineLevel="0" collapsed="false">
      <c r="B8" s="7" t="s">
        <v>372</v>
      </c>
      <c r="C8" s="7" t="s">
        <v>373</v>
      </c>
      <c r="D8" s="7" t="s">
        <v>367</v>
      </c>
      <c r="E8" s="60" t="n">
        <v>59.57</v>
      </c>
      <c r="F8" s="60" t="n">
        <v>7.86</v>
      </c>
      <c r="G8" s="61" t="n">
        <v>23.91</v>
      </c>
      <c r="H8" s="62" t="n">
        <f aca="false">E8/G8</f>
        <v>2.49142618151401</v>
      </c>
      <c r="I8" s="51" t="n">
        <f aca="false">H8/F8</f>
        <v>0.316975341159543</v>
      </c>
      <c r="J8" s="7" t="s">
        <v>368</v>
      </c>
    </row>
    <row r="9" customFormat="false" ht="15" hidden="false" customHeight="false" outlineLevel="0" collapsed="false">
      <c r="B9" s="7" t="s">
        <v>374</v>
      </c>
      <c r="C9" s="7" t="s">
        <v>375</v>
      </c>
      <c r="D9" s="7" t="s">
        <v>367</v>
      </c>
      <c r="E9" s="60" t="n">
        <v>46.71</v>
      </c>
      <c r="F9" s="60" t="n">
        <v>4.64</v>
      </c>
      <c r="G9" s="61" t="n">
        <v>32.17</v>
      </c>
      <c r="H9" s="62" t="n">
        <f aca="false">E9/G9</f>
        <v>1.4519738887162</v>
      </c>
      <c r="I9" s="51" t="n">
        <f aca="false">H9/F9</f>
        <v>0.312925407050904</v>
      </c>
      <c r="J9" s="7" t="s">
        <v>371</v>
      </c>
    </row>
    <row r="10" customFormat="false" ht="15" hidden="false" customHeight="false" outlineLevel="0" collapsed="false">
      <c r="B10" s="7" t="s">
        <v>376</v>
      </c>
      <c r="C10" s="7" t="s">
        <v>377</v>
      </c>
      <c r="D10" s="7" t="s">
        <v>367</v>
      </c>
      <c r="E10" s="60" t="n">
        <v>65.64</v>
      </c>
      <c r="F10" s="60" t="n">
        <v>6.58</v>
      </c>
      <c r="G10" s="61" t="n">
        <v>38.66</v>
      </c>
      <c r="H10" s="62" t="n">
        <f aca="false">E10/G10</f>
        <v>1.69787894464563</v>
      </c>
      <c r="I10" s="51" t="n">
        <f aca="false">H10/F10</f>
        <v>0.258036313775931</v>
      </c>
      <c r="J10" s="7" t="s">
        <v>368</v>
      </c>
    </row>
    <row r="11" customFormat="false" ht="15" hidden="false" customHeight="false" outlineLevel="0" collapsed="false">
      <c r="B11" s="7" t="s">
        <v>378</v>
      </c>
      <c r="C11" s="7" t="s">
        <v>379</v>
      </c>
      <c r="D11" s="7" t="s">
        <v>380</v>
      </c>
      <c r="E11" s="60" t="n">
        <v>14.93</v>
      </c>
      <c r="F11" s="60" t="n">
        <v>2.58</v>
      </c>
      <c r="G11" s="61" t="n">
        <v>22.96</v>
      </c>
      <c r="H11" s="62" t="n">
        <f aca="false">E11/G11</f>
        <v>0.650261324041812</v>
      </c>
      <c r="I11" s="51" t="n">
        <f aca="false">H11/F11</f>
        <v>0.252039272884423</v>
      </c>
      <c r="J11" s="7" t="s">
        <v>381</v>
      </c>
    </row>
    <row r="12" customFormat="false" ht="15" hidden="false" customHeight="false" outlineLevel="0" collapsed="false">
      <c r="B12" s="7" t="s">
        <v>382</v>
      </c>
      <c r="C12" s="7" t="s">
        <v>383</v>
      </c>
      <c r="D12" s="7" t="s">
        <v>367</v>
      </c>
      <c r="E12" s="60" t="n">
        <v>11.31</v>
      </c>
      <c r="F12" s="60" t="n">
        <v>3.5</v>
      </c>
      <c r="G12" s="61" t="n">
        <v>21.01</v>
      </c>
      <c r="H12" s="62" t="n">
        <f aca="false">E12/G12</f>
        <v>0.538315088053308</v>
      </c>
      <c r="I12" s="51" t="n">
        <f aca="false">H12/F12</f>
        <v>0.153804310872374</v>
      </c>
      <c r="J12" s="7" t="s">
        <v>368</v>
      </c>
    </row>
    <row r="13" customFormat="false" ht="15" hidden="false" customHeight="false" outlineLevel="0" collapsed="false">
      <c r="B13" s="7" t="s">
        <v>384</v>
      </c>
      <c r="C13" s="7" t="s">
        <v>385</v>
      </c>
      <c r="D13" s="7" t="s">
        <v>380</v>
      </c>
      <c r="E13" s="60" t="n">
        <v>1.5</v>
      </c>
      <c r="F13" s="60" t="n">
        <v>0.4232</v>
      </c>
      <c r="G13" s="61" t="n">
        <v>17.22</v>
      </c>
      <c r="H13" s="62" t="n">
        <f aca="false">E13/G13</f>
        <v>0.0871080139372822</v>
      </c>
      <c r="I13" s="51" t="n">
        <f aca="false">H13/F13</f>
        <v>0.205831790967113</v>
      </c>
      <c r="J13" s="7" t="s">
        <v>386</v>
      </c>
    </row>
    <row r="15" customFormat="false" ht="15" hidden="false" customHeight="false" outlineLevel="0" collapsed="false">
      <c r="B15" s="38" t="s">
        <v>387</v>
      </c>
      <c r="G15" s="55" t="n">
        <f aca="false">MEDIAN(G6:G13)</f>
        <v>23.9</v>
      </c>
      <c r="I15" s="56" t="n">
        <f aca="false">MEDIAN(I6:I13)</f>
        <v>0.270127367863417</v>
      </c>
    </row>
    <row r="16" customFormat="false" ht="15" hidden="false" customHeight="false" outlineLevel="0" collapsed="false">
      <c r="B16" s="7" t="s">
        <v>388</v>
      </c>
      <c r="G16" s="50" t="n">
        <f aca="false">MEDIAN(G6:G11)</f>
        <v>24.445</v>
      </c>
    </row>
    <row r="17" customFormat="false" ht="15" hidden="false" customHeight="false" outlineLevel="0" collapsed="false">
      <c r="B17" s="7" t="s">
        <v>389</v>
      </c>
      <c r="G17" s="50" t="n">
        <f aca="false">MEDIAN(G12:G13)</f>
        <v>19.115</v>
      </c>
    </row>
    <row r="18" customFormat="false" ht="15" hidden="false" customHeight="false" outlineLevel="0" collapsed="false">
      <c r="B18" s="7" t="s">
        <v>390</v>
      </c>
      <c r="I18" s="57" t="n">
        <f aca="false">'Operating Model'!C25</f>
        <v>0.185570079619648</v>
      </c>
    </row>
    <row r="19" customFormat="false" ht="15" hidden="false" customHeight="false" outlineLevel="0" collapsed="false">
      <c r="B19" s="7" t="s">
        <v>391</v>
      </c>
      <c r="I19" s="57" t="n">
        <f aca="false">'Operating Model'!H25</f>
        <v>0.234529422520654</v>
      </c>
    </row>
    <row r="20" customFormat="false" ht="15" hidden="false" customHeight="false" outlineLevel="0" collapsed="false">
      <c r="B20" s="14" t="s">
        <v>392</v>
      </c>
    </row>
    <row r="21" customFormat="false" ht="15" hidden="false" customHeight="false" outlineLevel="0" collapsed="false">
      <c r="B21" s="14" t="s">
        <v>393</v>
      </c>
    </row>
    <row r="23" customFormat="false" ht="15" hidden="false" customHeight="false" outlineLevel="0" collapsed="false">
      <c r="B23" s="5" t="s">
        <v>394</v>
      </c>
      <c r="C23" s="6"/>
      <c r="D23" s="6"/>
      <c r="E23" s="6"/>
      <c r="F23" s="6"/>
      <c r="G23" s="6"/>
      <c r="H23" s="6"/>
      <c r="I23" s="6"/>
    </row>
    <row r="24" customFormat="false" ht="23.85" hidden="false" customHeight="false" outlineLevel="0" collapsed="false">
      <c r="B24" s="22" t="s">
        <v>395</v>
      </c>
      <c r="C24" s="23" t="s">
        <v>396</v>
      </c>
      <c r="D24" s="23" t="s">
        <v>324</v>
      </c>
      <c r="E24" s="23" t="s">
        <v>397</v>
      </c>
      <c r="F24" s="23" t="s">
        <v>398</v>
      </c>
      <c r="G24" s="23" t="s">
        <v>399</v>
      </c>
      <c r="H24" s="23"/>
      <c r="I24" s="23"/>
      <c r="J24" s="23" t="s">
        <v>400</v>
      </c>
    </row>
    <row r="25" customFormat="false" ht="15" hidden="false" customHeight="false" outlineLevel="0" collapsed="false">
      <c r="B25" s="7" t="s">
        <v>401</v>
      </c>
      <c r="C25" s="7" t="s">
        <v>402</v>
      </c>
      <c r="D25" s="7" t="s">
        <v>403</v>
      </c>
      <c r="E25" s="7" t="s">
        <v>404</v>
      </c>
      <c r="F25" s="7" t="s">
        <v>405</v>
      </c>
      <c r="G25" s="61" t="n">
        <v>15</v>
      </c>
      <c r="J25" s="7" t="s">
        <v>406</v>
      </c>
    </row>
    <row r="26" customFormat="false" ht="15" hidden="false" customHeight="false" outlineLevel="0" collapsed="false">
      <c r="B26" s="7" t="s">
        <v>407</v>
      </c>
      <c r="C26" s="7" t="s">
        <v>408</v>
      </c>
      <c r="D26" s="7" t="s">
        <v>409</v>
      </c>
      <c r="E26" s="7" t="s">
        <v>404</v>
      </c>
      <c r="F26" s="7" t="s">
        <v>410</v>
      </c>
      <c r="G26" s="61" t="n">
        <v>17.8</v>
      </c>
      <c r="J26" s="7" t="s">
        <v>406</v>
      </c>
    </row>
    <row r="27" customFormat="false" ht="15" hidden="false" customHeight="false" outlineLevel="0" collapsed="false">
      <c r="B27" s="7" t="s">
        <v>411</v>
      </c>
      <c r="C27" s="7" t="s">
        <v>412</v>
      </c>
      <c r="D27" s="7" t="s">
        <v>413</v>
      </c>
      <c r="E27" s="7" t="s">
        <v>414</v>
      </c>
      <c r="F27" s="7" t="s">
        <v>410</v>
      </c>
      <c r="G27" s="61" t="n">
        <v>20.5</v>
      </c>
      <c r="J27" s="7" t="s">
        <v>406</v>
      </c>
    </row>
    <row r="28" customFormat="false" ht="15" hidden="false" customHeight="false" outlineLevel="0" collapsed="false">
      <c r="B28" s="7" t="s">
        <v>415</v>
      </c>
      <c r="C28" s="7" t="s">
        <v>416</v>
      </c>
      <c r="D28" s="7" t="s">
        <v>417</v>
      </c>
      <c r="E28" s="63" t="str">
        <f aca="false">TEXT('Bid Comparison'!F6/1000,"0.0")&amp;"bn GBP"</f>
        <v>4.4bn GBP</v>
      </c>
      <c r="F28" s="7" t="s">
        <v>418</v>
      </c>
      <c r="G28" s="9" t="n">
        <f aca="false">'Bid Comparison'!G6</f>
        <v>18.4425857740586</v>
      </c>
      <c r="J28" s="7" t="s">
        <v>419</v>
      </c>
    </row>
    <row r="29" customFormat="false" ht="15" hidden="false" customHeight="false" outlineLevel="0" collapsed="false">
      <c r="B29" s="7" t="s">
        <v>415</v>
      </c>
      <c r="C29" s="7" t="s">
        <v>420</v>
      </c>
      <c r="D29" s="7" t="s">
        <v>421</v>
      </c>
      <c r="E29" s="7" t="s">
        <v>422</v>
      </c>
      <c r="F29" s="7" t="s">
        <v>418</v>
      </c>
      <c r="G29" s="61" t="n">
        <v>20.3</v>
      </c>
      <c r="J29" s="7" t="s">
        <v>423</v>
      </c>
    </row>
    <row r="30" customFormat="false" ht="15" hidden="false" customHeight="false" outlineLevel="0" collapsed="false">
      <c r="B30" s="38" t="s">
        <v>424</v>
      </c>
      <c r="G30" s="55" t="n">
        <f aca="false">MEDIAN(G25:G29)</f>
        <v>18.4425857740586</v>
      </c>
    </row>
    <row r="31" customFormat="false" ht="15" hidden="false" customHeight="false" outlineLevel="0" collapsed="false">
      <c r="B31" s="7" t="s">
        <v>425</v>
      </c>
      <c r="G31" s="64" t="n">
        <v>19.5</v>
      </c>
    </row>
    <row r="33" customFormat="false" ht="15" hidden="false" customHeight="false" outlineLevel="0" collapsed="false">
      <c r="B33" s="5" t="s">
        <v>426</v>
      </c>
      <c r="C33" s="6"/>
      <c r="D33" s="6"/>
      <c r="E33" s="6"/>
      <c r="F33" s="6"/>
      <c r="G33" s="6"/>
      <c r="H33" s="6"/>
      <c r="I33" s="6"/>
    </row>
    <row r="34" customFormat="false" ht="15" hidden="false" customHeight="false" outlineLevel="0" collapsed="false">
      <c r="B34" s="7" t="s">
        <v>427</v>
      </c>
      <c r="G34" s="9" t="n">
        <f aca="false">ExitMult</f>
        <v>18</v>
      </c>
    </row>
    <row r="35" customFormat="false" ht="15" hidden="false" customHeight="false" outlineLevel="0" collapsed="false">
      <c r="B35" s="7" t="s">
        <v>13</v>
      </c>
      <c r="G35" s="9" t="n">
        <f aca="false">Returns!C31</f>
        <v>20.5338244020829</v>
      </c>
    </row>
    <row r="36" customFormat="false" ht="15" hidden="false" customHeight="false" outlineLevel="0" collapsed="false">
      <c r="B36" s="14" t="s">
        <v>428</v>
      </c>
    </row>
    <row r="37" customFormat="false" ht="15" hidden="false" customHeight="false" outlineLevel="0" collapsed="false">
      <c r="B37" s="14" t="s">
        <v>429</v>
      </c>
    </row>
    <row r="38" customFormat="false" ht="15" hidden="false" customHeight="false" outlineLevel="0" collapsed="false">
      <c r="B38" s="14" t="s">
        <v>430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3B6"/>
    <pageSetUpPr fitToPage="false"/>
  </sheetPr>
  <dimension ref="B2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7" min="3" style="0" width="12"/>
    <col collapsed="false" customWidth="true" hidden="false" outlineLevel="0" max="8" min="8" style="0" width="4"/>
    <col collapsed="false" customWidth="true" hidden="false" outlineLevel="0" max="9" min="9" style="0" width="66"/>
  </cols>
  <sheetData>
    <row r="2" customFormat="false" ht="19.7" hidden="false" customHeight="false" outlineLevel="0" collapsed="false">
      <c r="B2" s="20" t="s">
        <v>431</v>
      </c>
    </row>
    <row r="3" customFormat="false" ht="15" hidden="false" customHeight="false" outlineLevel="0" collapsed="false">
      <c r="B3" s="21" t="s">
        <v>432</v>
      </c>
    </row>
    <row r="5" customFormat="false" ht="15" hidden="false" customHeight="false" outlineLevel="0" collapsed="false">
      <c r="B5" s="5" t="s">
        <v>433</v>
      </c>
      <c r="C5" s="6"/>
      <c r="D5" s="6"/>
      <c r="E5" s="6"/>
      <c r="F5" s="6"/>
      <c r="G5" s="6"/>
    </row>
    <row r="6" customFormat="false" ht="15" hidden="false" customHeight="false" outlineLevel="0" collapsed="false">
      <c r="B6" s="38" t="s">
        <v>434</v>
      </c>
      <c r="C6" s="61" t="n">
        <v>15</v>
      </c>
      <c r="D6" s="61" t="n">
        <v>16.5</v>
      </c>
      <c r="E6" s="61" t="n">
        <v>18</v>
      </c>
      <c r="F6" s="61" t="n">
        <v>19.5</v>
      </c>
      <c r="G6" s="61" t="n">
        <v>21</v>
      </c>
      <c r="I6" s="14" t="s">
        <v>435</v>
      </c>
    </row>
    <row r="7" customFormat="false" ht="15" hidden="false" customHeight="false" outlineLevel="0" collapsed="false">
      <c r="B7" s="65" t="n">
        <v>37.63</v>
      </c>
      <c r="C7" s="51" t="n">
        <f aca="false">((EBITDA_Exit*C$6-ND_Exit-Leases)/(($B7-Dividend)*Shares*(1+Stamp)+Gross_Debt+FinFees+Advisory+Target_Costs-SUM(Debt0)))^(1/Hold)-1</f>
        <v>0.128310388921013</v>
      </c>
      <c r="D7" s="51" t="n">
        <f aca="false">((EBITDA_Exit*D$6-ND_Exit-Leases)/(($B7-Dividend)*Shares*(1+Stamp)+Gross_Debt+FinFees+Advisory+Target_Costs-SUM(Debt0)))^(1/Hold)-1</f>
        <v>0.153105172705176</v>
      </c>
      <c r="E7" s="51" t="n">
        <f aca="false">((EBITDA_Exit*E$6-ND_Exit-Leases)/(($B7-Dividend)*Shares*(1+Stamp)+Gross_Debt+FinFees+Advisory+Target_Costs-SUM(Debt0)))^(1/Hold)-1</f>
        <v>0.175934318034263</v>
      </c>
      <c r="F7" s="51" t="n">
        <f aca="false">((EBITDA_Exit*F$6-ND_Exit-Leases)/(($B7-Dividend)*Shares*(1+Stamp)+Gross_Debt+FinFees+Advisory+Target_Costs-SUM(Debt0)))^(1/Hold)-1</f>
        <v>0.197117086519597</v>
      </c>
      <c r="G7" s="51" t="n">
        <f aca="false">((EBITDA_Exit*G$6-ND_Exit-Leases)/(($B7-Dividend)*Shares*(1+Stamp)+Gross_Debt+FinFees+Advisory+Target_Costs-SUM(Debt0)))^(1/Hold)-1</f>
        <v>0.216898702239849</v>
      </c>
      <c r="I7" s="14" t="s">
        <v>436</v>
      </c>
    </row>
    <row r="8" customFormat="false" ht="15" hidden="false" customHeight="false" outlineLevel="0" collapsed="false">
      <c r="B8" s="65" t="n">
        <v>40</v>
      </c>
      <c r="C8" s="51" t="n">
        <f aca="false">((EBITDA_Exit*C$6-ND_Exit-Leases)/(($B8-Dividend)*Shares*(1+Stamp)+Gross_Debt+FinFees+Advisory+Target_Costs-SUM(Debt0)))^(1/Hold)-1</f>
        <v>0.11121286806804</v>
      </c>
      <c r="D8" s="51" t="n">
        <f aca="false">((EBITDA_Exit*D$6-ND_Exit-Leases)/(($B8-Dividend)*Shares*(1+Stamp)+Gross_Debt+FinFees+Advisory+Target_Costs-SUM(Debt0)))^(1/Hold)-1</f>
        <v>0.135631931361673</v>
      </c>
      <c r="E8" s="51" t="n">
        <f aca="false">((EBITDA_Exit*E$6-ND_Exit-Leases)/(($B8-Dividend)*Shares*(1+Stamp)+Gross_Debt+FinFees+Advisory+Target_Costs-SUM(Debt0)))^(1/Hold)-1</f>
        <v>0.158115141926575</v>
      </c>
      <c r="F8" s="51" t="n">
        <f aca="false">((EBITDA_Exit*F$6-ND_Exit-Leases)/(($B8-Dividend)*Shares*(1+Stamp)+Gross_Debt+FinFees+Advisory+Target_Costs-SUM(Debt0)))^(1/Hold)-1</f>
        <v>0.178976923536792</v>
      </c>
      <c r="G8" s="51" t="n">
        <f aca="false">((EBITDA_Exit*G$6-ND_Exit-Leases)/(($B8-Dividend)*Shares*(1+Stamp)+Gross_Debt+FinFees+Advisory+Target_Costs-SUM(Debt0)))^(1/Hold)-1</f>
        <v>0.198458784339776</v>
      </c>
    </row>
    <row r="9" customFormat="false" ht="15" hidden="false" customHeight="false" outlineLevel="0" collapsed="false">
      <c r="B9" s="65" t="n">
        <v>41</v>
      </c>
      <c r="C9" s="51" t="n">
        <f aca="false">((EBITDA_Exit*C$6-ND_Exit-Leases)/(($B9-Dividend)*Shares*(1+Stamp)+Gross_Debt+FinFees+Advisory+Target_Costs-SUM(Debt0)))^(1/Hold)-1</f>
        <v>0.104445543584377</v>
      </c>
      <c r="D9" s="51" t="n">
        <f aca="false">((EBITDA_Exit*D$6-ND_Exit-Leases)/(($B9-Dividend)*Shares*(1+Stamp)+Gross_Debt+FinFees+Advisory+Target_Costs-SUM(Debt0)))^(1/Hold)-1</f>
        <v>0.128715893944923</v>
      </c>
      <c r="E9" s="51" t="n">
        <f aca="false">((EBITDA_Exit*E$6-ND_Exit-Leases)/(($B9-Dividend)*Shares*(1+Stamp)+Gross_Debt+FinFees+Advisory+Target_Costs-SUM(Debt0)))^(1/Hold)-1</f>
        <v>0.151062180986259</v>
      </c>
      <c r="F9" s="51" t="n">
        <f aca="false">((EBITDA_Exit*F$6-ND_Exit-Leases)/(($B9-Dividend)*Shares*(1+Stamp)+Gross_Debt+FinFees+Advisory+Target_Costs-SUM(Debt0)))^(1/Hold)-1</f>
        <v>0.171796913630863</v>
      </c>
      <c r="G9" s="51" t="n">
        <f aca="false">((EBITDA_Exit*G$6-ND_Exit-Leases)/(($B9-Dividend)*Shares*(1+Stamp)+Gross_Debt+FinFees+Advisory+Target_Costs-SUM(Debt0)))^(1/Hold)-1</f>
        <v>0.191160129233285</v>
      </c>
    </row>
    <row r="10" customFormat="false" ht="15" hidden="false" customHeight="false" outlineLevel="0" collapsed="false">
      <c r="B10" s="65" t="n">
        <v>41.75</v>
      </c>
      <c r="C10" s="51" t="n">
        <f aca="false">((EBITDA_Exit*C$6-ND_Exit-Leases)/(($B10-Dividend)*Shares*(1+Stamp)+Gross_Debt+FinFees+Advisory+Target_Costs-SUM(Debt0)))^(1/Hold)-1</f>
        <v>0.0995283944017282</v>
      </c>
      <c r="D10" s="51" t="n">
        <f aca="false">((EBITDA_Exit*D$6-ND_Exit-Leases)/(($B10-Dividend)*Shares*(1+Stamp)+Gross_Debt+FinFees+Advisory+Target_Costs-SUM(Debt0)))^(1/Hold)-1</f>
        <v>0.123690689698689</v>
      </c>
      <c r="E10" s="51" t="n">
        <f aca="false">((EBITDA_Exit*E$6-ND_Exit-Leases)/(($B10-Dividend)*Shares*(1+Stamp)+Gross_Debt+FinFees+Advisory+Target_Costs-SUM(Debt0)))^(1/Hold)-1</f>
        <v>0.145937487880933</v>
      </c>
      <c r="F10" s="51" t="n">
        <f aca="false">((EBITDA_Exit*F$6-ND_Exit-Leases)/(($B10-Dividend)*Shares*(1+Stamp)+Gross_Debt+FinFees+Advisory+Target_Costs-SUM(Debt0)))^(1/Hold)-1</f>
        <v>0.166579906536616</v>
      </c>
      <c r="G10" s="51" t="n">
        <f aca="false">((EBITDA_Exit*G$6-ND_Exit-Leases)/(($B10-Dividend)*Shares*(1+Stamp)+Gross_Debt+FinFees+Advisory+Target_Costs-SUM(Debt0)))^(1/Hold)-1</f>
        <v>0.185856914339725</v>
      </c>
    </row>
    <row r="11" customFormat="false" ht="15" hidden="false" customHeight="false" outlineLevel="0" collapsed="false">
      <c r="B11" s="65" t="n">
        <v>43</v>
      </c>
      <c r="C11" s="51" t="n">
        <f aca="false">((EBITDA_Exit*C$6-ND_Exit-Leases)/(($B11-Dividend)*Shares*(1+Stamp)+Gross_Debt+FinFees+Advisory+Target_Costs-SUM(Debt0)))^(1/Hold)-1</f>
        <v>0.0916156976471307</v>
      </c>
      <c r="D11" s="51" t="n">
        <f aca="false">((EBITDA_Exit*D$6-ND_Exit-Leases)/(($B11-Dividend)*Shares*(1+Stamp)+Gross_Debt+FinFees+Advisory+Target_Costs-SUM(Debt0)))^(1/Hold)-1</f>
        <v>0.115604110289898</v>
      </c>
      <c r="E11" s="51" t="n">
        <f aca="false">((EBITDA_Exit*E$6-ND_Exit-Leases)/(($B11-Dividend)*Shares*(1+Stamp)+Gross_Debt+FinFees+Advisory+Target_Costs-SUM(Debt0)))^(1/Hold)-1</f>
        <v>0.137690810589565</v>
      </c>
      <c r="F11" s="51" t="n">
        <f aca="false">((EBITDA_Exit*F$6-ND_Exit-Leases)/(($B11-Dividend)*Shares*(1+Stamp)+Gross_Debt+FinFees+Advisory+Target_Costs-SUM(Debt0)))^(1/Hold)-1</f>
        <v>0.158184677193354</v>
      </c>
      <c r="G11" s="51" t="n">
        <f aca="false">((EBITDA_Exit*G$6-ND_Exit-Leases)/(($B11-Dividend)*Shares*(1+Stamp)+Gross_Debt+FinFees+Advisory+Target_Costs-SUM(Debt0)))^(1/Hold)-1</f>
        <v>0.177322959050086</v>
      </c>
    </row>
    <row r="13" customFormat="false" ht="15" hidden="false" customHeight="false" outlineLevel="0" collapsed="false">
      <c r="B13" s="5" t="s">
        <v>437</v>
      </c>
      <c r="C13" s="6"/>
      <c r="D13" s="6"/>
      <c r="E13" s="6"/>
      <c r="F13" s="6"/>
      <c r="G13" s="6"/>
    </row>
    <row r="14" customFormat="false" ht="15" hidden="false" customHeight="false" outlineLevel="0" collapsed="false">
      <c r="B14" s="38" t="s">
        <v>438</v>
      </c>
      <c r="C14" s="66" t="n">
        <v>0.16</v>
      </c>
      <c r="D14" s="66" t="n">
        <v>0.175</v>
      </c>
      <c r="E14" s="66" t="n">
        <v>0.19</v>
      </c>
      <c r="F14" s="66" t="n">
        <v>0.205</v>
      </c>
      <c r="G14" s="66" t="n">
        <v>0.22</v>
      </c>
      <c r="I14" s="14" t="s">
        <v>439</v>
      </c>
    </row>
    <row r="15" customFormat="false" ht="15" hidden="false" customHeight="false" outlineLevel="0" collapsed="false">
      <c r="B15" s="66" t="n">
        <v>0.2</v>
      </c>
      <c r="C15" s="67" t="n">
        <v>0.106536</v>
      </c>
      <c r="D15" s="67" t="n">
        <v>0.113764</v>
      </c>
      <c r="E15" s="67" t="n">
        <v>0.12081</v>
      </c>
      <c r="F15" s="67" t="n">
        <v>0.127682</v>
      </c>
      <c r="G15" s="67" t="n">
        <v>0.134391</v>
      </c>
      <c r="I15" s="14" t="s">
        <v>440</v>
      </c>
    </row>
    <row r="16" customFormat="false" ht="15" hidden="false" customHeight="false" outlineLevel="0" collapsed="false">
      <c r="B16" s="66" t="n">
        <v>0.215</v>
      </c>
      <c r="C16" s="67" t="n">
        <v>0.120034</v>
      </c>
      <c r="D16" s="67" t="n">
        <v>0.126925</v>
      </c>
      <c r="E16" s="67" t="n">
        <v>0.133652</v>
      </c>
      <c r="F16" s="67" t="n">
        <v>0.140223</v>
      </c>
      <c r="G16" s="67" t="n">
        <v>0.146646</v>
      </c>
      <c r="I16" s="14" t="s">
        <v>441</v>
      </c>
    </row>
    <row r="17" customFormat="false" ht="15" hidden="false" customHeight="false" outlineLevel="0" collapsed="false">
      <c r="B17" s="66" t="n">
        <v>0.23</v>
      </c>
      <c r="C17" s="67" t="n">
        <v>0.132911</v>
      </c>
      <c r="D17" s="67" t="n">
        <v>0.139499</v>
      </c>
      <c r="E17" s="67" t="n">
        <v>0.145937</v>
      </c>
      <c r="F17" s="67" t="n">
        <v>0.152235</v>
      </c>
      <c r="G17" s="67" t="n">
        <v>0.158397</v>
      </c>
    </row>
    <row r="18" customFormat="false" ht="15" hidden="false" customHeight="false" outlineLevel="0" collapsed="false">
      <c r="B18" s="66" t="n">
        <v>0.245</v>
      </c>
      <c r="C18" s="67" t="n">
        <v>0.145228</v>
      </c>
      <c r="D18" s="67" t="n">
        <v>0.15154</v>
      </c>
      <c r="E18" s="67" t="n">
        <v>0.157718</v>
      </c>
      <c r="F18" s="67" t="n">
        <v>0.163766</v>
      </c>
      <c r="G18" s="67" t="n">
        <v>0.169691</v>
      </c>
    </row>
    <row r="19" customFormat="false" ht="15" hidden="false" customHeight="false" outlineLevel="0" collapsed="false">
      <c r="B19" s="66" t="n">
        <v>0.26</v>
      </c>
      <c r="C19" s="67" t="n">
        <v>0.157036</v>
      </c>
      <c r="D19" s="67" t="n">
        <v>0.163099</v>
      </c>
      <c r="E19" s="67" t="n">
        <v>0.169037</v>
      </c>
      <c r="F19" s="67" t="n">
        <v>0.174857</v>
      </c>
      <c r="G19" s="67" t="n">
        <v>0.180564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3B6"/>
    <pageSetUpPr fitToPage="false"/>
  </sheetPr>
  <dimension ref="B2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60"/>
    <col collapsed="false" customWidth="true" hidden="false" outlineLevel="0" max="4" min="4" style="0" width="52"/>
  </cols>
  <sheetData>
    <row r="2" customFormat="false" ht="19.7" hidden="false" customHeight="false" outlineLevel="0" collapsed="false">
      <c r="B2" s="20" t="s">
        <v>442</v>
      </c>
    </row>
    <row r="3" customFormat="false" ht="15" hidden="false" customHeight="false" outlineLevel="0" collapsed="false">
      <c r="B3" s="21" t="s">
        <v>443</v>
      </c>
    </row>
    <row r="5" customFormat="false" ht="15" hidden="false" customHeight="false" outlineLevel="0" collapsed="false">
      <c r="B5" s="22" t="s">
        <v>444</v>
      </c>
      <c r="C5" s="23" t="s">
        <v>445</v>
      </c>
      <c r="D5" s="23" t="s">
        <v>446</v>
      </c>
    </row>
    <row r="6" customFormat="false" ht="42" hidden="false" customHeight="true" outlineLevel="0" collapsed="false">
      <c r="B6" s="68" t="s">
        <v>447</v>
      </c>
      <c r="C6" s="69" t="s">
        <v>448</v>
      </c>
      <c r="D6" s="70" t="s">
        <v>449</v>
      </c>
    </row>
    <row r="7" customFormat="false" ht="42" hidden="false" customHeight="true" outlineLevel="0" collapsed="false">
      <c r="B7" s="68" t="s">
        <v>450</v>
      </c>
      <c r="C7" s="69" t="s">
        <v>451</v>
      </c>
      <c r="D7" s="70" t="s">
        <v>452</v>
      </c>
    </row>
    <row r="8" customFormat="false" ht="42" hidden="false" customHeight="true" outlineLevel="0" collapsed="false">
      <c r="B8" s="68" t="s">
        <v>173</v>
      </c>
      <c r="C8" s="69" t="s">
        <v>453</v>
      </c>
      <c r="D8" s="70" t="s">
        <v>454</v>
      </c>
    </row>
    <row r="9" customFormat="false" ht="42" hidden="false" customHeight="true" outlineLevel="0" collapsed="false">
      <c r="B9" s="68" t="s">
        <v>455</v>
      </c>
      <c r="C9" s="69" t="s">
        <v>456</v>
      </c>
      <c r="D9" s="70" t="s">
        <v>457</v>
      </c>
    </row>
    <row r="10" customFormat="false" ht="42" hidden="false" customHeight="true" outlineLevel="0" collapsed="false">
      <c r="B10" s="68" t="s">
        <v>458</v>
      </c>
      <c r="C10" s="69" t="s">
        <v>459</v>
      </c>
      <c r="D10" s="70" t="s">
        <v>460</v>
      </c>
    </row>
    <row r="11" customFormat="false" ht="42" hidden="false" customHeight="true" outlineLevel="0" collapsed="false">
      <c r="B11" s="68" t="s">
        <v>461</v>
      </c>
      <c r="C11" s="69" t="s">
        <v>462</v>
      </c>
      <c r="D11" s="70" t="s">
        <v>463</v>
      </c>
    </row>
    <row r="12" customFormat="false" ht="42" hidden="false" customHeight="true" outlineLevel="0" collapsed="false">
      <c r="B12" s="68" t="s">
        <v>464</v>
      </c>
      <c r="C12" s="69" t="s">
        <v>465</v>
      </c>
      <c r="D12" s="70" t="s">
        <v>466</v>
      </c>
    </row>
    <row r="13" customFormat="false" ht="42" hidden="false" customHeight="true" outlineLevel="0" collapsed="false">
      <c r="B13" s="68" t="s">
        <v>467</v>
      </c>
      <c r="C13" s="69" t="s">
        <v>468</v>
      </c>
      <c r="D13" s="70" t="s">
        <v>469</v>
      </c>
    </row>
    <row r="14" customFormat="false" ht="42" hidden="false" customHeight="true" outlineLevel="0" collapsed="false">
      <c r="B14" s="68" t="s">
        <v>470</v>
      </c>
      <c r="C14" s="69" t="s">
        <v>471</v>
      </c>
      <c r="D14" s="70" t="s">
        <v>472</v>
      </c>
    </row>
    <row r="15" customFormat="false" ht="42" hidden="false" customHeight="true" outlineLevel="0" collapsed="false">
      <c r="B15" s="68" t="s">
        <v>473</v>
      </c>
      <c r="C15" s="69" t="s">
        <v>474</v>
      </c>
      <c r="D15" s="70" t="s">
        <v>475</v>
      </c>
    </row>
    <row r="16" customFormat="false" ht="42" hidden="false" customHeight="true" outlineLevel="0" collapsed="false">
      <c r="B16" s="68" t="s">
        <v>476</v>
      </c>
      <c r="C16" s="69" t="s">
        <v>477</v>
      </c>
      <c r="D16" s="70" t="s">
        <v>478</v>
      </c>
    </row>
    <row r="17" customFormat="false" ht="42" hidden="false" customHeight="true" outlineLevel="0" collapsed="false">
      <c r="B17" s="68" t="s">
        <v>479</v>
      </c>
      <c r="C17" s="69" t="s">
        <v>480</v>
      </c>
      <c r="D17" s="70" t="s">
        <v>481</v>
      </c>
    </row>
    <row r="18" customFormat="false" ht="42" hidden="false" customHeight="true" outlineLevel="0" collapsed="false">
      <c r="B18" s="68" t="s">
        <v>482</v>
      </c>
      <c r="C18" s="69" t="s">
        <v>483</v>
      </c>
      <c r="D18" s="70" t="s">
        <v>484</v>
      </c>
    </row>
    <row r="19" customFormat="false" ht="42" hidden="false" customHeight="true" outlineLevel="0" collapsed="false">
      <c r="B19" s="68" t="s">
        <v>485</v>
      </c>
      <c r="C19" s="69" t="s">
        <v>486</v>
      </c>
      <c r="D19" s="70" t="s">
        <v>487</v>
      </c>
    </row>
    <row r="20" customFormat="false" ht="42" hidden="false" customHeight="true" outlineLevel="0" collapsed="false">
      <c r="B20" s="68" t="s">
        <v>488</v>
      </c>
      <c r="C20" s="69" t="s">
        <v>489</v>
      </c>
      <c r="D20" s="70" t="s">
        <v>490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3B6"/>
    <pageSetUpPr fitToPage="false"/>
  </sheetPr>
  <dimension ref="B2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8"/>
    <col collapsed="false" customWidth="true" hidden="false" outlineLevel="0" max="3" min="3" style="0" width="14"/>
    <col collapsed="false" customWidth="true" hidden="false" outlineLevel="0" max="4" min="4" style="0" width="12"/>
  </cols>
  <sheetData>
    <row r="2" customFormat="false" ht="19.7" hidden="false" customHeight="false" outlineLevel="0" collapsed="false">
      <c r="B2" s="20" t="s">
        <v>491</v>
      </c>
    </row>
    <row r="3" customFormat="false" ht="15" hidden="false" customHeight="false" outlineLevel="0" collapsed="false">
      <c r="B3" s="21" t="s">
        <v>492</v>
      </c>
    </row>
    <row r="5" customFormat="false" ht="15" hidden="false" customHeight="false" outlineLevel="0" collapsed="false">
      <c r="B5" s="22" t="s">
        <v>493</v>
      </c>
      <c r="C5" s="23" t="s">
        <v>54</v>
      </c>
      <c r="D5" s="23" t="s">
        <v>494</v>
      </c>
    </row>
    <row r="6" customFormat="false" ht="15" hidden="false" customHeight="false" outlineLevel="0" collapsed="false">
      <c r="B6" s="7" t="s">
        <v>495</v>
      </c>
      <c r="C6" s="71" t="n">
        <f aca="false">'Sources &amp; Uses'!C18</f>
        <v>0</v>
      </c>
      <c r="D6" s="72" t="str">
        <f aca="false">IF(ABS(C6)&lt;0.001,"OK","ERROR")</f>
        <v>OK</v>
      </c>
    </row>
    <row r="7" customFormat="false" ht="15" hidden="false" customHeight="false" outlineLevel="0" collapsed="false">
      <c r="B7" s="7" t="s">
        <v>496</v>
      </c>
      <c r="C7" s="71" t="n">
        <f aca="false">Returns!C25-Returns!C26</f>
        <v>0</v>
      </c>
      <c r="D7" s="72" t="str">
        <f aca="false">IF(ABS(C7)&lt;0.001,"OK","ERROR")</f>
        <v>OK</v>
      </c>
    </row>
    <row r="8" customFormat="false" ht="15" hidden="false" customHeight="false" outlineLevel="0" collapsed="false">
      <c r="B8" s="7" t="s">
        <v>497</v>
      </c>
      <c r="C8" s="71" t="n">
        <f aca="false">Returns!C14-Returns!C15</f>
        <v>0</v>
      </c>
      <c r="D8" s="72" t="str">
        <f aca="false">IF(ABS(C8)&lt;0.0001,"OK","ERROR")</f>
        <v>OK</v>
      </c>
    </row>
    <row r="9" customFormat="false" ht="15" hidden="false" customHeight="false" outlineLevel="0" collapsed="false">
      <c r="B9" s="7" t="s">
        <v>498</v>
      </c>
      <c r="C9" s="71" t="n">
        <f aca="false">MIN('Debt Schedule'!C17:H17,'Debt Schedule'!C24:H24)</f>
        <v>489.685064638341</v>
      </c>
      <c r="D9" s="72" t="str">
        <f aca="false">IF(C9&gt;=-0.001,"OK","ERROR")</f>
        <v>OK</v>
      </c>
    </row>
    <row r="10" customFormat="false" ht="15" hidden="false" customHeight="false" outlineLevel="0" collapsed="false">
      <c r="B10" s="7" t="s">
        <v>499</v>
      </c>
      <c r="C10" s="71" t="n">
        <f aca="false">MIN('Debt Schedule'!C33:H33)</f>
        <v>59.2</v>
      </c>
      <c r="D10" s="72" t="str">
        <f aca="false">IF(C10&gt;=-0.001,"OK","CHECK")</f>
        <v>OK</v>
      </c>
    </row>
    <row r="11" customFormat="false" ht="15" hidden="false" customHeight="false" outlineLevel="0" collapsed="false">
      <c r="B11" s="7" t="s">
        <v>500</v>
      </c>
      <c r="C11" s="71" t="n">
        <f aca="false">SUM('Debt Schedule'!D16:H16)+SUM('Debt Schedule'!D23:H23)-SUM('Debt Schedule'!D10:H10)</f>
        <v>0</v>
      </c>
      <c r="D11" s="72" t="str">
        <f aca="false">IF(ABS(C11)&lt;0.001,"OK","ERROR")</f>
        <v>OK</v>
      </c>
    </row>
    <row r="12" customFormat="false" ht="15" hidden="false" customHeight="false" outlineLevel="0" collapsed="false">
      <c r="B12" s="7" t="s">
        <v>501</v>
      </c>
      <c r="C12" s="71" t="n">
        <f aca="false">Historicals!D22-EBITDA_FY24</f>
        <v>-0.300000000000011</v>
      </c>
      <c r="D12" s="72" t="str">
        <f aca="false">IF(ABS(C12)&lt;1,"OK","CHECK")</f>
        <v>OK</v>
      </c>
    </row>
    <row r="13" customFormat="false" ht="15" hidden="false" customHeight="false" outlineLevel="0" collapsed="false">
      <c r="B13" s="7" t="s">
        <v>502</v>
      </c>
      <c r="C13" s="71" t="n">
        <f aca="false">Historicals!D18-1298.7</f>
        <v>0</v>
      </c>
      <c r="D13" s="72" t="str">
        <f aca="false">IF(ABS(C13)&lt;0.1,"OK","CHECK")</f>
        <v>OK</v>
      </c>
    </row>
    <row r="14" customFormat="false" ht="15" hidden="false" customHeight="false" outlineLevel="0" collapsed="false">
      <c r="B14" s="7" t="s">
        <v>503</v>
      </c>
      <c r="C14" s="71" t="n">
        <f aca="false">'Sources &amp; Uses'!C23-20.3</f>
        <v>-0.123221757322177</v>
      </c>
      <c r="D14" s="72" t="str">
        <f aca="false">IF(ABS(C14)&lt;0.2,"OK","CHECK")</f>
        <v>OK</v>
      </c>
    </row>
    <row r="16" customFormat="false" ht="15" hidden="false" customHeight="false" outlineLevel="0" collapsed="false">
      <c r="B16" s="38" t="s">
        <v>504</v>
      </c>
      <c r="D16" s="72" t="str">
        <f aca="false">IF(COUNTIF(D6:D14,"OK")=9,"ALL OK","REVIEW")</f>
        <v>ALL 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2026-10-03T10:21:06Z</dcterms:created>
  <dc:creator>openpyxl</dc:creator>
  <dc:description/>
  <dc:language>en-US</dc:language>
  <cp:lastModifiedBy/>
  <dcterms:modified xsi:type="dcterms:W3CDTF">2026-10-03T10:21:06Z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